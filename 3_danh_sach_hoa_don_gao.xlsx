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ool\"/>
    </mc:Choice>
  </mc:AlternateContent>
  <xr:revisionPtr revIDLastSave="0" documentId="13_ncr:1_{B62CF1E4-572F-43CB-81DC-037CCBE711EA}" xr6:coauthVersionLast="47" xr6:coauthVersionMax="47" xr10:uidLastSave="{00000000-0000-0000-0000-000000000000}"/>
  <bookViews>
    <workbookView xWindow="-108" yWindow="-108" windowWidth="23256" windowHeight="12576" xr2:uid="{199AC53E-6593-4093-B966-169389BE0204}"/>
  </bookViews>
  <sheets>
    <sheet name="Sheet1" sheetId="1" r:id="rId1"/>
  </sheets>
  <definedNames>
    <definedName name="_xlnm._FilterDatabase" localSheetId="0" hidden="1">Sheet1!$A$1:$Q$112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2" i="1"/>
</calcChain>
</file>

<file path=xl/sharedStrings.xml><?xml version="1.0" encoding="utf-8"?>
<sst xmlns="http://schemas.openxmlformats.org/spreadsheetml/2006/main" count="1017" uniqueCount="199">
  <si>
    <t>sohd</t>
  </si>
  <si>
    <t>ngay</t>
  </si>
  <si>
    <t>thang</t>
  </si>
  <si>
    <t>nam</t>
  </si>
  <si>
    <t>benmua</t>
  </si>
  <si>
    <t>diachi</t>
  </si>
  <si>
    <t>mst</t>
  </si>
  <si>
    <t>daidien</t>
  </si>
  <si>
    <t>gioitinh</t>
  </si>
  <si>
    <t>tenhang</t>
  </si>
  <si>
    <t>soluong</t>
  </si>
  <si>
    <t>dongia</t>
  </si>
  <si>
    <t>mathang</t>
  </si>
  <si>
    <t>thanhtien</t>
  </si>
  <si>
    <t>thuesuat</t>
  </si>
  <si>
    <t>thue</t>
  </si>
  <si>
    <t>tongtien</t>
  </si>
  <si>
    <t>2026</t>
  </si>
  <si>
    <t>HỘ KINH DOANH GẠO 150 YÊN PHỤ</t>
  </si>
  <si>
    <t>150 Yên Phụ, Phường Tây Hồ, Thành phố Hà Nội, Việt Nam</t>
  </si>
  <si>
    <t>001207028423</t>
  </si>
  <si>
    <t>Gạo 5% Tấm</t>
  </si>
  <si>
    <t>5%</t>
  </si>
  <si>
    <t>Tô Ngọc Bảo Lâm</t>
  </si>
  <si>
    <t>Bà</t>
  </si>
  <si>
    <t>CÔNG TY CỔ PHẦN THƯƠNG MẠI VÀ DỊCH VỤ DU LỊCH VŨ LÊ</t>
  </si>
  <si>
    <t>HỘ KINH DOANH NGỌC HUYỀN CUISINE</t>
  </si>
  <si>
    <t>CÔNG TY TNHH XÂY DỰNG VÀ THƯƠNG MẠI PHÚC CHÂU</t>
  </si>
  <si>
    <t>CÔNG TY TNHH THƯƠNG MẠI VÀ DỊCH VỤ THỊNH PHÁT HƯNG YÊN</t>
  </si>
  <si>
    <t>CÔNG TY TRÁCH NHIỆM HỮU HẠN DƯỢC LIỆU ỨNG DỤNG FYTOZEN</t>
  </si>
  <si>
    <t>CÔNG TY TNHH THỰC PHẨM SẠCH TRUNG THÀNH FOODS</t>
  </si>
  <si>
    <t>CÔNG TY CỔ PHẦN THƯƠNG MẠI VỊ THÀNH</t>
  </si>
  <si>
    <t>CÔNG TY TNHH DỊCH VỤ TÚY GIANG NAM</t>
  </si>
  <si>
    <t>HỘ KINH DOANH NGUYỄN THỊ HÀ 1969</t>
  </si>
  <si>
    <t>Lưu Thị Điệu</t>
  </si>
  <si>
    <t>CÔNG TY TNHH ĐẦU TƯ VÀ THƯƠNG MẠI THỊNH PHONG</t>
  </si>
  <si>
    <t>HỘ KINH DOANH VŨ ĐÌNH VƯƠNG</t>
  </si>
  <si>
    <t>HỘ KINH DOANH NGUYỄN THỊ NGA 1984</t>
  </si>
  <si>
    <t>CÔNG TY TNHH THƯƠNG MẠI VÀ DỊCH VỤ HUY OANH PHÚ THỌ</t>
  </si>
  <si>
    <t>CÔNG TY CỔ PHẦN QUỐC TẾ VINH HOA</t>
  </si>
  <si>
    <t>CÔNG TY TNHH SẢN XUẤT VÀ PHÂN PHỐI CHÂU SƠN</t>
  </si>
  <si>
    <t>CÔNG TY TNHH DỊCH VỤ VÀ THƯƠNG MẠI QUANG MINH HƯNG YÊN</t>
  </si>
  <si>
    <t>CÔNG TY TNHH CHAO YUE PRECISION ELECTRONIC VIỆT NAM</t>
  </si>
  <si>
    <t>CÔNG TY TNHH THƯƠNG MẠI VÀ DỊCH VỤ COSAN VIỆT NAM</t>
  </si>
  <si>
    <t>CÔNG TY TNHH THƯƠNG MẠI VÀ DỊCH VỤ DƯƠNG ANH</t>
  </si>
  <si>
    <t>CÔNG TY CỔ PHẦN  DU LỊCH VÀ THỰC PHẨM SAO VIỆT</t>
  </si>
  <si>
    <t>HỘ KINH DOANH HOÀNG ĐÌNH THẠO</t>
  </si>
  <si>
    <t>LƯU THỊ ĐIỆU</t>
  </si>
  <si>
    <t>CÔNG TY CỔ PHẦN DỊCH VỤ SWE GROUP</t>
  </si>
  <si>
    <t>Lưu Thị Lập</t>
  </si>
  <si>
    <t>HỘ KINH DOANH HẢI AN FOOD</t>
  </si>
  <si>
    <t>CÔNG TY TNHH ĐẦU TƯ VÀ PHÁT TRIỂN TA GROUP</t>
  </si>
  <si>
    <t>CÔNG TY TNHH TM VÀ DỊCH VỤ ĐÔNG Á</t>
  </si>
  <si>
    <t>CÔNG TY TNHH DỊCH VỤ VÀ SẢN XUẤT NGUYÊN AN</t>
  </si>
  <si>
    <t>CÔNG TY TNHH DỊCH VỤ THƯƠNG MẠI VÀ VẬN TẢI VIỆT HẢI</t>
  </si>
  <si>
    <t>CÔNG TY CỔ PHẦN THỰC PHẨM NĐT</t>
  </si>
  <si>
    <t>CÔNG TY TNHH SẢN XUẤT VÀ THƯƠNG MẠI NAM PHONG YM HƯNG YÊN</t>
  </si>
  <si>
    <t>CÔNG TY TNHH  DỊCH VỤ THƯƠNG MẠI VÀ VẬN TẢI VIỆT HẢI</t>
  </si>
  <si>
    <t>Số 35-37 Phố Hàng Trống, Phường Hoàn Kiếm, Thành phố Hà Nội, Việt Nam</t>
  </si>
  <si>
    <t>Số 81b Đại Cồ Việt, Phường Bạch Mai, Thành Phố Hà Nội, Việt Nam</t>
  </si>
  <si>
    <t>Số nhà 55, khu phố Chợ Sơn, Xã Liên Bão, Tỉnh Bắc Ninh, Việt Nam</t>
  </si>
  <si>
    <t>Tổ dân phố Lỗ Xá, Phường Mỹ Hào, Tỉnh Hưng Yên, Việt Nam</t>
  </si>
  <si>
    <t>Số 21, Ngách 164/10 Ngõ 164, Phố Hồng Mai, Phường Bạch Mai, Thành phố Hà Nội, Việt Nam</t>
  </si>
  <si>
    <t>Thôn Khả Tân, Xã Diên Hà, Tỉnh Hưng Yên, Việt Nam</t>
  </si>
  <si>
    <t>Số 25 phố Nguyễn Trường Tộ, Phường Ba Đình, Thành phố Hà Nội, Việt Nam</t>
  </si>
  <si>
    <t>Số 11, Ngách 5, Ngõ 320 Khương Đình, Phường Khương Đình, Thành phố Hà Nội, Việt Nam</t>
  </si>
  <si>
    <t>Khu phố Tư Thế, Phường Trí Quả, Tỉnh Bắc Ninh, Việt Nam</t>
  </si>
  <si>
    <t>Số 200, Đường Thạch Bàn, Phường Long Biên, Thành Phố Hà Nội</t>
  </si>
  <si>
    <t>Thôn Tân Độ, Xã Phượng Dực, Thành phố Hà Nội, Việt Nam</t>
  </si>
  <si>
    <t>5 Lê Văn Thịnh, Xã Gia Bình, Tỉnh Bắc Ninh, Việt Nam</t>
  </si>
  <si>
    <t>Thôn Yên Nhân, Xã Mê Linh, Thành phố Hà Nội, Việt Nam</t>
  </si>
  <si>
    <t>Khu 5, Xã Hạ Hòa, Tỉnh Phú Thọ, Việt Nam</t>
  </si>
  <si>
    <t>Số 15D Sơn Tây, Phường Ba Đình, Thành phố Hà Nội, Việt Nam</t>
  </si>
  <si>
    <t>Thôn Châu Sơn, Xã Ngọc Thiện, Tỉnh Bắc Ninh, Việt Nam</t>
  </si>
  <si>
    <t>Thôn Tử Cầu, Xã Nguyễn Văn Linh, Tỉnh Hưng Yên, Việt Nam</t>
  </si>
  <si>
    <t>Đường 206, Khu công nghiệp Phố Nối A, Xã Như Quỳnh, Tỉnh Hưng Yên, Việt Nam</t>
  </si>
  <si>
    <t>Thôn Đông Khúc, Xã Nghĩa Trụ, Tỉnh Hưng Yên, Việt Nam</t>
  </si>
  <si>
    <t>Đường Nguyễn Lân, Phường Mỹ Hào, Tỉnh Hưng Yên, Việt Nam</t>
  </si>
  <si>
    <t>Tổ 6, Phường Long Biên, Thành phố Hà Nội, Việt Nam</t>
  </si>
  <si>
    <t>TDP Văn Bối, Phường Kim Thanh, Tỉnh Ninh Bình, Việt Nam</t>
  </si>
  <si>
    <t>Số 200 đường Thạch Bàn, tổ 5, Phường Long Biên, Thành phố Hà Nội, Việt Nam</t>
  </si>
  <si>
    <t>87 ngõ Văn Chương, phố Tôn Đức Thắng, Phường Văn Miếu - Quốc Tử Giám, Thành phố Hà Nội, Việt Nam</t>
  </si>
  <si>
    <t>218 đường Thạch Bàn, tổ 5, Phường Long Biên, Thành phố Hà Nội, Việt Nam</t>
  </si>
  <si>
    <t>Số nhà 22, Ngách 332/23, Ngõ 332, , Đường La Phù , Thôn Trần, Xã An Khánh, Thành phố Hà Nội, Việt Nam</t>
  </si>
  <si>
    <t>81B Đại cồ việt, Việt Nam</t>
  </si>
  <si>
    <t>134 Nguyễn Văn Lộc, Phường Hà Đông, Thành phố Hà Nội, Việt Nam</t>
  </si>
  <si>
    <t>Số nhà 95A, đường C, tổ dân phố An Đào, Xã Gia Lâm, Thành phố Hà Nội, Việt Nam</t>
  </si>
  <si>
    <t>Khu Làng Nghề, Thôn Trai Trang, Xã Yên Mỹ, Tỉnh Hưng Yên, Việt Nam</t>
  </si>
  <si>
    <t>Thôn Nho Lâm, Xã Yên Mỹ, Tỉnh Hưng Yên, Việt Nam</t>
  </si>
  <si>
    <t>Thôn Trai Trang, Xã Yên Mỹ, Tỉnh Hưng Yên, Việt Nam</t>
  </si>
  <si>
    <t>0109920439</t>
  </si>
  <si>
    <t>001195003943</t>
  </si>
  <si>
    <t>2301315624</t>
  </si>
  <si>
    <t>0901000943</t>
  </si>
  <si>
    <t>0108032462</t>
  </si>
  <si>
    <t>1001253076</t>
  </si>
  <si>
    <t>0110451397</t>
  </si>
  <si>
    <t>0108918846</t>
  </si>
  <si>
    <t>8636040179-001</t>
  </si>
  <si>
    <t>0100535471</t>
  </si>
  <si>
    <t>0107560621</t>
  </si>
  <si>
    <t>027090011277</t>
  </si>
  <si>
    <t>001184051327</t>
  </si>
  <si>
    <t>2601131868</t>
  </si>
  <si>
    <t>0109408950</t>
  </si>
  <si>
    <t>2401003241</t>
  </si>
  <si>
    <t>0900873455</t>
  </si>
  <si>
    <t>0901171674</t>
  </si>
  <si>
    <t>0901146170</t>
  </si>
  <si>
    <t>0900344684</t>
  </si>
  <si>
    <t>0101827452</t>
  </si>
  <si>
    <t>035067001310</t>
  </si>
  <si>
    <t>0110596353</t>
  </si>
  <si>
    <t>001159020583</t>
  </si>
  <si>
    <t>001300011497</t>
  </si>
  <si>
    <t>0110259598</t>
  </si>
  <si>
    <t>0107437829</t>
  </si>
  <si>
    <t>0901230175</t>
  </si>
  <si>
    <t>0900232010</t>
  </si>
  <si>
    <t>0901139487</t>
  </si>
  <si>
    <t>0901125519</t>
  </si>
  <si>
    <t>Gạo 5% tấm</t>
  </si>
  <si>
    <t>Gạo tẻ</t>
  </si>
  <si>
    <t>Gạo BC</t>
  </si>
  <si>
    <t>Gạo ST25</t>
  </si>
  <si>
    <t>Gạo ST 25</t>
  </si>
  <si>
    <t>Gạo Tẻ</t>
  </si>
  <si>
    <t>Gạo Bắc Thơm</t>
  </si>
  <si>
    <t>Gạo Thơm 49</t>
  </si>
  <si>
    <t>Gạo Séng Cù</t>
  </si>
  <si>
    <t>Gạo Trắng</t>
  </si>
  <si>
    <t>Gạo Băc Thơm</t>
  </si>
  <si>
    <t>Gạo St25</t>
  </si>
  <si>
    <t>Gạo Bắc Hương</t>
  </si>
  <si>
    <t>Gạo ST24</t>
  </si>
  <si>
    <t>Cám</t>
  </si>
  <si>
    <t>Tấm</t>
  </si>
  <si>
    <t>KKKNT</t>
  </si>
  <si>
    <t>0%</t>
  </si>
  <si>
    <t>Mai Thị Vân Anh</t>
  </si>
  <si>
    <t>Ông</t>
  </si>
  <si>
    <t>Nguyễn Năng Duy</t>
  </si>
  <si>
    <t>Đỗ Quang Hưng</t>
  </si>
  <si>
    <t>Nguyễn Văn Tuấn</t>
  </si>
  <si>
    <t>Đặng Trung Dũng</t>
  </si>
  <si>
    <t>Nguyễn Văn Toản</t>
  </si>
  <si>
    <t>PAN, FONG-YANG</t>
  </si>
  <si>
    <t>Ông/Bà</t>
  </si>
  <si>
    <t>Nguyễn Thế Anh</t>
  </si>
  <si>
    <t>Vũ Thị Kiều</t>
  </si>
  <si>
    <t>Nguyễn Ngọc Cường</t>
  </si>
  <si>
    <t>Đỗ Văn Tuấn</t>
  </si>
  <si>
    <t>Nguyễn Văn Bình</t>
  </si>
  <si>
    <t>Phạm Lục Huỳnh</t>
  </si>
  <si>
    <t>Đỗ Thị Ngân</t>
  </si>
  <si>
    <t>Nguyễn Trung Bằng</t>
  </si>
  <si>
    <t>Đặng Thị Hồng Trang</t>
  </si>
  <si>
    <t>Lưu Văn Chỉnh</t>
  </si>
  <si>
    <t>Trần Quang Huy</t>
  </si>
  <si>
    <t>Chu Như Thưởng</t>
  </si>
  <si>
    <t>Lương Thị Vinh</t>
  </si>
  <si>
    <t>Vũ Văn Toản</t>
  </si>
  <si>
    <t>Lương Thanh Tùng</t>
  </si>
  <si>
    <t>Vũ Quang Anh</t>
  </si>
  <si>
    <t>Phan Thị Hải Yến</t>
  </si>
  <si>
    <t>Hoàng Đình Thạo</t>
  </si>
  <si>
    <t>Ngọc Huyền</t>
  </si>
  <si>
    <t>Nguyễn Thị Hà</t>
  </si>
  <si>
    <t>Nguyễn Thị Nga</t>
  </si>
  <si>
    <t>Vũ Đình Vương</t>
  </si>
  <si>
    <t>kyhieu</t>
  </si>
  <si>
    <t>LTL</t>
  </si>
  <si>
    <t>NTN</t>
  </si>
  <si>
    <t>NH</t>
  </si>
  <si>
    <t>YP</t>
  </si>
  <si>
    <t>HA</t>
  </si>
  <si>
    <t>LTD</t>
  </si>
  <si>
    <t>SV</t>
  </si>
  <si>
    <t>DA</t>
  </si>
  <si>
    <t>TP</t>
  </si>
  <si>
    <t>UD</t>
  </si>
  <si>
    <t>GN</t>
  </si>
  <si>
    <t>VH</t>
  </si>
  <si>
    <t>VL</t>
  </si>
  <si>
    <t>TA</t>
  </si>
  <si>
    <t>VT</t>
  </si>
  <si>
    <t>SWE</t>
  </si>
  <si>
    <t>HĐT</t>
  </si>
  <si>
    <t>VĐV</t>
  </si>
  <si>
    <t>QM</t>
  </si>
  <si>
    <t>NP</t>
  </si>
  <si>
    <t>NĐT</t>
  </si>
  <si>
    <t>CS</t>
  </si>
  <si>
    <t>CY</t>
  </si>
  <si>
    <t>NA</t>
  </si>
  <si>
    <t>TT</t>
  </si>
  <si>
    <t>PC</t>
  </si>
  <si>
    <t>HO</t>
  </si>
  <si>
    <t>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</si>
</sst>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2"/>
      <color theme="1"/>
      <name val="Times New Roman"/>
      <family val="2"/>
      <charset val="163"/>
    </font>
    <font>
      <sz val="8"/>
      <name val="Times New Roman"/>
      <family val="2"/>
      <charset val="16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/>
  </cellXfs>
  <cellStyles count="2">
    <cellStyle name="Normal" xfId="0" builtinId="0"/>
    <cellStyle name="Normal 2" xfId="1" xr:uid="{56498E8E-35CF-4EF0-8596-12BF683BA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E0E0-8A12-4253-B233-B25ECC54CE71}">
  <dimension ref="A1:R112"/>
  <sheetViews>
    <sheetView tabSelected="1" topLeftCell="D1" zoomScale="85" zoomScaleNormal="85" workbookViewId="0">
      <selection activeCell="H10" sqref="H10"/>
    </sheetView>
  </sheetViews>
  <sheetFormatPr defaultColWidth="8.69921875" defaultRowHeight="15.6" x14ac:dyDescent="0.3"/>
  <cols>
    <col min="1" max="1" width="4.796875" style="1" bestFit="1" customWidth="1"/>
    <col min="2" max="2" width="4.69921875" style="3" bestFit="1" customWidth="1"/>
    <col min="3" max="3" width="5.296875" style="3" bestFit="1" customWidth="1"/>
    <col min="4" max="4" width="5.296875" style="1" bestFit="1" customWidth="1"/>
    <col min="5" max="5" width="69.8984375" style="1" bestFit="1" customWidth="1"/>
    <col min="6" max="6" width="15.5" style="1" customWidth="1"/>
    <col min="7" max="7" width="14" style="1" bestFit="1" customWidth="1"/>
    <col min="8" max="8" width="7.296875" style="1" bestFit="1" customWidth="1"/>
    <col min="9" max="9" width="17.59765625" style="1" customWidth="1"/>
    <col min="10" max="10" width="14" style="1" bestFit="1" customWidth="1"/>
    <col min="11" max="11" width="7.5" style="1" bestFit="1" customWidth="1"/>
    <col min="12" max="12" width="6.3984375" style="1" bestFit="1" customWidth="1"/>
    <col min="13" max="13" width="17.19921875" style="1" bestFit="1" customWidth="1"/>
    <col min="14" max="14" width="9.59765625" style="1" bestFit="1" customWidth="1"/>
    <col min="15" max="15" width="7.796875" style="1" bestFit="1" customWidth="1"/>
    <col min="16" max="16" width="7.69921875" bestFit="1" customWidth="1"/>
    <col min="17" max="17" width="9.59765625" style="1" bestFit="1" customWidth="1"/>
    <col min="18" max="16384" width="8.69921875" style="1"/>
  </cols>
  <sheetData>
    <row r="1" spans="1:18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170</v>
      </c>
    </row>
    <row r="2" spans="1:18" ht="27.6" customHeight="1" x14ac:dyDescent="0.3">
      <c r="A2" s="1">
        <v>1</v>
      </c>
      <c r="B2" s="3">
        <v>9</v>
      </c>
      <c r="C2" s="3">
        <v>1</v>
      </c>
      <c r="D2" s="1" t="s">
        <v>17</v>
      </c>
      <c r="E2" s="2" t="s">
        <v>25</v>
      </c>
      <c r="F2" s="1" t="s">
        <v>58</v>
      </c>
      <c r="G2" s="1" t="s">
        <v>90</v>
      </c>
      <c r="H2" s="1" t="s">
        <v>140</v>
      </c>
      <c r="I2" s="1" t="s">
        <v>163</v>
      </c>
      <c r="J2" s="1" t="s">
        <v>21</v>
      </c>
      <c r="K2" s="1">
        <v>184</v>
      </c>
      <c r="L2" s="1">
        <v>11000</v>
      </c>
      <c r="M2" t="str">
        <f>IF(O2="","",IF(O2="KKKNT","KKKNT","chịu thuế GTGT 5%"))</f>
        <v>KKKNT</v>
      </c>
      <c r="N2" s="1">
        <v>2024000</v>
      </c>
      <c r="O2" s="1" t="s">
        <v>137</v>
      </c>
      <c r="P2">
        <v>0</v>
      </c>
      <c r="Q2" s="1">
        <v>2024000</v>
      </c>
      <c r="R2" s="1" t="s">
        <v>183</v>
      </c>
    </row>
    <row r="3" spans="1:18" x14ac:dyDescent="0.3">
      <c r="A3" s="1">
        <v>2</v>
      </c>
      <c r="B3" s="3">
        <v>9</v>
      </c>
      <c r="C3" s="3">
        <v>1</v>
      </c>
      <c r="D3" s="1" t="s">
        <v>17</v>
      </c>
      <c r="E3" s="1" t="s">
        <v>26</v>
      </c>
      <c r="F3" s="1" t="s">
        <v>59</v>
      </c>
      <c r="G3" s="1" t="s">
        <v>91</v>
      </c>
      <c r="H3" s="1" t="s">
        <v>24</v>
      </c>
      <c r="I3" s="1" t="s">
        <v>166</v>
      </c>
      <c r="J3" s="1" t="s">
        <v>21</v>
      </c>
      <c r="K3" s="1">
        <v>436</v>
      </c>
      <c r="L3" s="1">
        <v>11000</v>
      </c>
      <c r="M3" t="str">
        <f t="shared" ref="M3:M66" si="0">IF(O3="","",IF(O3="KKKNT","KKKNT","chịu thuế GTGT 5%"))</f>
        <v>KKKNT</v>
      </c>
      <c r="N3" s="1">
        <v>4796000</v>
      </c>
      <c r="O3" s="1" t="s">
        <v>137</v>
      </c>
      <c r="P3">
        <v>0</v>
      </c>
      <c r="Q3" s="1">
        <v>4796000</v>
      </c>
      <c r="R3" s="1" t="s">
        <v>173</v>
      </c>
    </row>
    <row r="4" spans="1:18" x14ac:dyDescent="0.3">
      <c r="A4" s="1">
        <v>3</v>
      </c>
      <c r="B4" s="3">
        <v>9</v>
      </c>
      <c r="C4" s="3">
        <v>1</v>
      </c>
      <c r="D4" s="1" t="s">
        <v>17</v>
      </c>
      <c r="E4" s="1" t="s">
        <v>25</v>
      </c>
      <c r="F4" s="1" t="s">
        <v>58</v>
      </c>
      <c r="G4" s="1" t="s">
        <v>90</v>
      </c>
      <c r="H4" s="1" t="s">
        <v>140</v>
      </c>
      <c r="I4" s="1" t="s">
        <v>163</v>
      </c>
      <c r="J4" s="1" t="s">
        <v>21</v>
      </c>
      <c r="K4" s="1">
        <v>107</v>
      </c>
      <c r="L4" s="1">
        <v>11000</v>
      </c>
      <c r="M4" t="str">
        <f t="shared" si="0"/>
        <v>KKKNT</v>
      </c>
      <c r="N4" s="1">
        <v>1177000</v>
      </c>
      <c r="O4" s="1" t="s">
        <v>137</v>
      </c>
      <c r="P4">
        <v>0</v>
      </c>
      <c r="Q4" s="1">
        <v>1177000</v>
      </c>
      <c r="R4" s="1" t="s">
        <v>183</v>
      </c>
    </row>
    <row r="5" spans="1:18" x14ac:dyDescent="0.3">
      <c r="A5" s="1">
        <v>4</v>
      </c>
      <c r="B5" s="3">
        <v>12</v>
      </c>
      <c r="C5" s="3">
        <v>1</v>
      </c>
      <c r="D5" s="1" t="s">
        <v>17</v>
      </c>
      <c r="E5" s="1" t="s">
        <v>27</v>
      </c>
      <c r="F5" s="1" t="s">
        <v>60</v>
      </c>
      <c r="G5" s="1" t="s">
        <v>92</v>
      </c>
      <c r="H5" s="1" t="s">
        <v>140</v>
      </c>
      <c r="I5" s="1" t="s">
        <v>161</v>
      </c>
      <c r="J5" s="1" t="s">
        <v>21</v>
      </c>
      <c r="K5" s="1">
        <v>1300</v>
      </c>
      <c r="L5" s="1">
        <v>11000</v>
      </c>
      <c r="M5" t="str">
        <f t="shared" si="0"/>
        <v>KKKNT</v>
      </c>
      <c r="N5" s="1">
        <v>14300000</v>
      </c>
      <c r="O5" s="1" t="s">
        <v>137</v>
      </c>
      <c r="P5">
        <v>0</v>
      </c>
      <c r="Q5" s="1">
        <v>14300000</v>
      </c>
      <c r="R5" s="1" t="s">
        <v>196</v>
      </c>
    </row>
    <row r="6" spans="1:18" x14ac:dyDescent="0.3">
      <c r="A6" s="1">
        <v>5</v>
      </c>
      <c r="B6" s="3">
        <v>14</v>
      </c>
      <c r="C6" s="3">
        <v>1</v>
      </c>
      <c r="D6" s="1" t="s">
        <v>17</v>
      </c>
      <c r="E6" s="1" t="s">
        <v>28</v>
      </c>
      <c r="F6" s="1" t="s">
        <v>61</v>
      </c>
      <c r="G6" s="1" t="s">
        <v>93</v>
      </c>
      <c r="H6" s="1" t="s">
        <v>147</v>
      </c>
      <c r="I6" s="1" t="s">
        <v>159</v>
      </c>
      <c r="J6" s="1" t="s">
        <v>121</v>
      </c>
      <c r="K6" s="1">
        <v>5000</v>
      </c>
      <c r="L6" s="1">
        <v>11000</v>
      </c>
      <c r="M6" t="str">
        <f t="shared" si="0"/>
        <v>KKKNT</v>
      </c>
      <c r="N6" s="1">
        <v>55000000</v>
      </c>
      <c r="O6" s="1" t="s">
        <v>137</v>
      </c>
      <c r="P6">
        <v>0</v>
      </c>
      <c r="Q6" s="1">
        <v>55000000</v>
      </c>
      <c r="R6" s="1" t="s">
        <v>179</v>
      </c>
    </row>
    <row r="7" spans="1:18" x14ac:dyDescent="0.3">
      <c r="A7" s="1">
        <v>6</v>
      </c>
      <c r="B7" s="3">
        <v>16</v>
      </c>
      <c r="C7" s="3">
        <v>1</v>
      </c>
      <c r="D7" s="1" t="s">
        <v>17</v>
      </c>
      <c r="E7" s="1" t="s">
        <v>29</v>
      </c>
      <c r="F7" s="1" t="s">
        <v>62</v>
      </c>
      <c r="G7" s="1" t="s">
        <v>94</v>
      </c>
      <c r="H7" s="1" t="s">
        <v>140</v>
      </c>
      <c r="I7" s="1" t="s">
        <v>162</v>
      </c>
      <c r="J7" s="1" t="s">
        <v>121</v>
      </c>
      <c r="K7" s="1">
        <v>3000</v>
      </c>
      <c r="L7" s="1">
        <v>11000</v>
      </c>
      <c r="M7" t="str">
        <f t="shared" si="0"/>
        <v>KKKNT</v>
      </c>
      <c r="N7" s="1">
        <v>33000000</v>
      </c>
      <c r="O7" s="1" t="s">
        <v>137</v>
      </c>
      <c r="P7">
        <v>0</v>
      </c>
      <c r="Q7" s="1">
        <v>33000000</v>
      </c>
      <c r="R7" s="1" t="s">
        <v>180</v>
      </c>
    </row>
    <row r="8" spans="1:18" x14ac:dyDescent="0.3">
      <c r="A8" s="1">
        <v>7</v>
      </c>
      <c r="B8" s="3">
        <v>17</v>
      </c>
      <c r="C8" s="3">
        <v>1</v>
      </c>
      <c r="D8" s="1" t="s">
        <v>17</v>
      </c>
      <c r="E8" s="1" t="s">
        <v>30</v>
      </c>
      <c r="F8" s="1" t="s">
        <v>63</v>
      </c>
      <c r="G8" s="1" t="s">
        <v>95</v>
      </c>
      <c r="H8" s="1" t="s">
        <v>140</v>
      </c>
      <c r="I8" s="1" t="s">
        <v>155</v>
      </c>
      <c r="J8" s="1" t="s">
        <v>122</v>
      </c>
      <c r="K8" s="1">
        <v>7550</v>
      </c>
      <c r="L8" s="1">
        <v>12000</v>
      </c>
      <c r="M8" t="str">
        <f t="shared" si="0"/>
        <v>KKKNT</v>
      </c>
      <c r="N8" s="1">
        <v>90600000</v>
      </c>
      <c r="O8" s="1" t="s">
        <v>137</v>
      </c>
      <c r="P8">
        <v>0</v>
      </c>
      <c r="Q8" s="1">
        <v>90600000</v>
      </c>
      <c r="R8" s="1" t="s">
        <v>195</v>
      </c>
    </row>
    <row r="9" spans="1:18" x14ac:dyDescent="0.3">
      <c r="A9" s="1">
        <v>8</v>
      </c>
      <c r="B9" s="3">
        <v>18</v>
      </c>
      <c r="C9" s="3">
        <v>1</v>
      </c>
      <c r="D9" s="1" t="s">
        <v>17</v>
      </c>
      <c r="E9" s="1" t="s">
        <v>26</v>
      </c>
      <c r="F9" s="1" t="s">
        <v>59</v>
      </c>
      <c r="G9" s="1" t="s">
        <v>91</v>
      </c>
      <c r="H9" s="1" t="s">
        <v>24</v>
      </c>
      <c r="I9" s="1" t="s">
        <v>166</v>
      </c>
      <c r="J9" s="1" t="s">
        <v>121</v>
      </c>
      <c r="K9" s="1">
        <v>873</v>
      </c>
      <c r="L9" s="1">
        <v>11000</v>
      </c>
      <c r="M9" t="str">
        <f t="shared" si="0"/>
        <v>KKKNT</v>
      </c>
      <c r="N9" s="1">
        <v>9603000</v>
      </c>
      <c r="O9" s="1" t="s">
        <v>137</v>
      </c>
      <c r="P9">
        <v>0</v>
      </c>
      <c r="Q9" s="1">
        <v>9603000</v>
      </c>
      <c r="R9" s="1" t="s">
        <v>173</v>
      </c>
    </row>
    <row r="10" spans="1:18" x14ac:dyDescent="0.3">
      <c r="A10" s="1">
        <v>9</v>
      </c>
      <c r="B10" s="3">
        <v>18</v>
      </c>
      <c r="C10" s="3">
        <v>1</v>
      </c>
      <c r="D10" s="1" t="s">
        <v>17</v>
      </c>
      <c r="E10" s="1" t="s">
        <v>31</v>
      </c>
      <c r="F10" s="1" t="s">
        <v>64</v>
      </c>
      <c r="G10" s="1" t="s">
        <v>96</v>
      </c>
      <c r="H10" s="1" t="s">
        <v>140</v>
      </c>
      <c r="I10" s="1" t="s">
        <v>144</v>
      </c>
      <c r="J10" s="1" t="s">
        <v>121</v>
      </c>
      <c r="K10" s="1">
        <v>517</v>
      </c>
      <c r="L10" s="1">
        <v>11000</v>
      </c>
      <c r="M10" t="str">
        <f t="shared" si="0"/>
        <v>KKKNT</v>
      </c>
      <c r="N10" s="1">
        <v>5687000</v>
      </c>
      <c r="O10" s="1" t="s">
        <v>137</v>
      </c>
      <c r="P10">
        <v>0</v>
      </c>
      <c r="Q10" s="1">
        <v>5687000</v>
      </c>
      <c r="R10" s="1" t="s">
        <v>185</v>
      </c>
    </row>
    <row r="11" spans="1:18" x14ac:dyDescent="0.3">
      <c r="A11" s="1">
        <v>10</v>
      </c>
      <c r="B11" s="3">
        <v>18</v>
      </c>
      <c r="C11" s="3">
        <v>1</v>
      </c>
      <c r="D11" s="1" t="s">
        <v>17</v>
      </c>
      <c r="E11" s="1" t="s">
        <v>32</v>
      </c>
      <c r="F11" s="1" t="s">
        <v>65</v>
      </c>
      <c r="G11" s="1" t="s">
        <v>97</v>
      </c>
      <c r="H11" s="1" t="s">
        <v>140</v>
      </c>
      <c r="I11" s="1" t="s">
        <v>150</v>
      </c>
      <c r="J11" s="1" t="s">
        <v>121</v>
      </c>
      <c r="K11" s="1">
        <v>140</v>
      </c>
      <c r="L11" s="1">
        <v>11000</v>
      </c>
      <c r="M11" t="str">
        <f t="shared" si="0"/>
        <v>KKKNT</v>
      </c>
      <c r="N11" s="1">
        <v>1540000</v>
      </c>
      <c r="O11" s="1" t="s">
        <v>137</v>
      </c>
      <c r="P11">
        <v>0</v>
      </c>
      <c r="Q11" s="1">
        <v>1540000</v>
      </c>
      <c r="R11" s="1" t="s">
        <v>181</v>
      </c>
    </row>
    <row r="12" spans="1:18" x14ac:dyDescent="0.3">
      <c r="A12" s="1">
        <v>11</v>
      </c>
      <c r="B12" s="3">
        <v>23</v>
      </c>
      <c r="C12" s="3">
        <v>1</v>
      </c>
      <c r="D12" s="1" t="s">
        <v>17</v>
      </c>
      <c r="E12" s="1" t="s">
        <v>33</v>
      </c>
      <c r="F12" s="1" t="s">
        <v>66</v>
      </c>
      <c r="G12" s="1" t="s">
        <v>98</v>
      </c>
      <c r="H12" s="1" t="s">
        <v>24</v>
      </c>
      <c r="I12" s="1" t="s">
        <v>167</v>
      </c>
      <c r="J12" s="1" t="s">
        <v>121</v>
      </c>
      <c r="K12" s="1">
        <v>1000</v>
      </c>
      <c r="L12" s="1">
        <v>11000</v>
      </c>
      <c r="M12" t="str">
        <f t="shared" si="0"/>
        <v>KKKNT</v>
      </c>
      <c r="N12" s="1">
        <v>11000000</v>
      </c>
      <c r="O12" s="1" t="s">
        <v>137</v>
      </c>
      <c r="P12">
        <v>0</v>
      </c>
      <c r="Q12" s="1">
        <v>11000000</v>
      </c>
      <c r="R12" s="1" t="s">
        <v>198</v>
      </c>
    </row>
    <row r="13" spans="1:18" x14ac:dyDescent="0.3">
      <c r="A13" s="1">
        <v>12</v>
      </c>
      <c r="B13" s="3">
        <v>24</v>
      </c>
      <c r="C13" s="3">
        <v>1</v>
      </c>
      <c r="D13" s="1" t="s">
        <v>17</v>
      </c>
      <c r="E13" s="1" t="s">
        <v>34</v>
      </c>
      <c r="F13" s="1" t="s">
        <v>67</v>
      </c>
      <c r="G13" s="1" t="s">
        <v>99</v>
      </c>
      <c r="H13" s="1" t="s">
        <v>24</v>
      </c>
      <c r="I13" s="1" t="s">
        <v>34</v>
      </c>
      <c r="J13" s="1" t="s">
        <v>122</v>
      </c>
      <c r="K13" s="1">
        <v>500</v>
      </c>
      <c r="L13" s="1">
        <v>12000</v>
      </c>
      <c r="M13" t="str">
        <f t="shared" si="0"/>
        <v>KKKNT</v>
      </c>
      <c r="N13" s="1">
        <v>6000000</v>
      </c>
      <c r="O13" s="1" t="s">
        <v>137</v>
      </c>
      <c r="P13">
        <v>0</v>
      </c>
      <c r="Q13" s="1">
        <v>6000000</v>
      </c>
      <c r="R13" s="1" t="s">
        <v>176</v>
      </c>
    </row>
    <row r="14" spans="1:18" x14ac:dyDescent="0.3">
      <c r="A14" s="1">
        <v>12</v>
      </c>
      <c r="B14" s="3">
        <v>24</v>
      </c>
      <c r="C14" s="3">
        <v>1</v>
      </c>
      <c r="D14" s="1" t="s">
        <v>17</v>
      </c>
      <c r="E14" s="1" t="s">
        <v>34</v>
      </c>
      <c r="F14" s="1" t="s">
        <v>67</v>
      </c>
      <c r="G14" s="1" t="s">
        <v>99</v>
      </c>
      <c r="H14" s="1" t="s">
        <v>24</v>
      </c>
      <c r="I14" s="1" t="s">
        <v>34</v>
      </c>
      <c r="J14" s="1" t="s">
        <v>123</v>
      </c>
      <c r="K14" s="1">
        <v>300</v>
      </c>
      <c r="L14" s="1">
        <v>11000</v>
      </c>
      <c r="M14" t="str">
        <f t="shared" si="0"/>
        <v>KKKNT</v>
      </c>
      <c r="N14" s="1">
        <v>3300000</v>
      </c>
      <c r="O14" s="1" t="s">
        <v>137</v>
      </c>
      <c r="P14">
        <v>0</v>
      </c>
      <c r="Q14" s="1">
        <v>3300000</v>
      </c>
      <c r="R14" s="1" t="s">
        <v>176</v>
      </c>
    </row>
    <row r="15" spans="1:18" x14ac:dyDescent="0.3">
      <c r="A15" s="1">
        <v>12</v>
      </c>
      <c r="B15" s="3">
        <v>24</v>
      </c>
      <c r="C15" s="3">
        <v>1</v>
      </c>
      <c r="D15" s="1" t="s">
        <v>17</v>
      </c>
      <c r="E15" s="1" t="s">
        <v>34</v>
      </c>
      <c r="F15" s="1" t="s">
        <v>67</v>
      </c>
      <c r="G15" s="1" t="s">
        <v>99</v>
      </c>
      <c r="H15" s="1" t="s">
        <v>24</v>
      </c>
      <c r="I15" s="1" t="s">
        <v>34</v>
      </c>
      <c r="J15" s="1" t="s">
        <v>124</v>
      </c>
      <c r="K15" s="1">
        <v>300</v>
      </c>
      <c r="L15" s="1">
        <v>22000</v>
      </c>
      <c r="M15" t="str">
        <f t="shared" si="0"/>
        <v>KKKNT</v>
      </c>
      <c r="N15" s="1">
        <v>6600000</v>
      </c>
      <c r="O15" s="1" t="s">
        <v>137</v>
      </c>
      <c r="P15">
        <v>0</v>
      </c>
      <c r="Q15" s="1">
        <v>6600000</v>
      </c>
      <c r="R15" s="1" t="s">
        <v>176</v>
      </c>
    </row>
    <row r="16" spans="1:18" x14ac:dyDescent="0.3">
      <c r="A16" s="1">
        <v>13</v>
      </c>
      <c r="B16" s="3">
        <v>26</v>
      </c>
      <c r="C16" s="3">
        <v>1</v>
      </c>
      <c r="D16" s="1" t="s">
        <v>17</v>
      </c>
      <c r="E16" s="1" t="s">
        <v>35</v>
      </c>
      <c r="F16" s="1" t="s">
        <v>68</v>
      </c>
      <c r="G16" s="1" t="s">
        <v>100</v>
      </c>
      <c r="H16" s="1" t="s">
        <v>24</v>
      </c>
      <c r="I16" s="1" t="s">
        <v>149</v>
      </c>
      <c r="J16" s="1" t="s">
        <v>122</v>
      </c>
      <c r="K16" s="1">
        <v>3044</v>
      </c>
      <c r="L16" s="1">
        <v>11500</v>
      </c>
      <c r="M16" t="str">
        <f t="shared" si="0"/>
        <v>KKKNT</v>
      </c>
      <c r="N16" s="1">
        <v>35006000</v>
      </c>
      <c r="O16" s="1" t="s">
        <v>137</v>
      </c>
      <c r="P16">
        <v>0</v>
      </c>
      <c r="Q16" s="1">
        <v>35006000</v>
      </c>
      <c r="R16" s="1" t="s">
        <v>179</v>
      </c>
    </row>
    <row r="17" spans="1:18" x14ac:dyDescent="0.3">
      <c r="A17" s="1">
        <v>14</v>
      </c>
      <c r="B17" s="3">
        <v>26</v>
      </c>
      <c r="C17" s="3">
        <v>1</v>
      </c>
      <c r="D17" s="1" t="s">
        <v>17</v>
      </c>
      <c r="E17" s="1" t="s">
        <v>36</v>
      </c>
      <c r="F17" s="1" t="s">
        <v>69</v>
      </c>
      <c r="G17" s="1" t="s">
        <v>101</v>
      </c>
      <c r="H17" s="1" t="s">
        <v>140</v>
      </c>
      <c r="I17" s="1" t="s">
        <v>169</v>
      </c>
      <c r="J17" s="1" t="s">
        <v>122</v>
      </c>
      <c r="K17" s="1">
        <v>2000</v>
      </c>
      <c r="L17" s="1">
        <v>11500</v>
      </c>
      <c r="M17" t="str">
        <f t="shared" si="0"/>
        <v>chịu thuế GTGT 5%</v>
      </c>
      <c r="N17" s="1">
        <v>23000000</v>
      </c>
      <c r="O17" s="1" t="s">
        <v>22</v>
      </c>
      <c r="P17">
        <v>1150000</v>
      </c>
      <c r="Q17" s="1">
        <v>24150000</v>
      </c>
      <c r="R17" s="1" t="s">
        <v>188</v>
      </c>
    </row>
    <row r="18" spans="1:18" x14ac:dyDescent="0.3">
      <c r="A18" s="1">
        <v>15</v>
      </c>
      <c r="B18" s="3">
        <v>26</v>
      </c>
      <c r="C18" s="3">
        <v>1</v>
      </c>
      <c r="D18" s="1" t="s">
        <v>17</v>
      </c>
      <c r="E18" s="1" t="s">
        <v>37</v>
      </c>
      <c r="F18" s="1" t="s">
        <v>70</v>
      </c>
      <c r="G18" s="1" t="s">
        <v>102</v>
      </c>
      <c r="H18" s="1" t="s">
        <v>24</v>
      </c>
      <c r="I18" s="1" t="s">
        <v>168</v>
      </c>
      <c r="J18" s="1" t="s">
        <v>122</v>
      </c>
      <c r="K18" s="1">
        <v>2000</v>
      </c>
      <c r="L18" s="1">
        <v>12000</v>
      </c>
      <c r="M18" t="str">
        <f t="shared" si="0"/>
        <v>chịu thuế GTGT 5%</v>
      </c>
      <c r="N18" s="1">
        <v>24000000</v>
      </c>
      <c r="O18" s="1" t="s">
        <v>22</v>
      </c>
      <c r="P18">
        <v>1200000</v>
      </c>
      <c r="Q18" s="1">
        <v>25200000</v>
      </c>
      <c r="R18" s="1" t="s">
        <v>172</v>
      </c>
    </row>
    <row r="19" spans="1:18" x14ac:dyDescent="0.3">
      <c r="A19" s="1">
        <v>16</v>
      </c>
      <c r="B19" s="3">
        <v>26</v>
      </c>
      <c r="C19" s="3">
        <v>1</v>
      </c>
      <c r="D19" s="1" t="s">
        <v>17</v>
      </c>
      <c r="E19" s="1" t="s">
        <v>32</v>
      </c>
      <c r="F19" s="1" t="s">
        <v>65</v>
      </c>
      <c r="G19" s="1" t="s">
        <v>97</v>
      </c>
      <c r="H19" s="1" t="s">
        <v>140</v>
      </c>
      <c r="I19" s="1" t="s">
        <v>150</v>
      </c>
      <c r="J19" s="1" t="s">
        <v>124</v>
      </c>
      <c r="K19" s="1">
        <v>262</v>
      </c>
      <c r="L19" s="1">
        <v>22000</v>
      </c>
      <c r="M19" t="str">
        <f t="shared" si="0"/>
        <v>KKKNT</v>
      </c>
      <c r="N19" s="1">
        <v>5764000</v>
      </c>
      <c r="O19" s="1" t="s">
        <v>137</v>
      </c>
      <c r="P19">
        <v>0</v>
      </c>
      <c r="Q19" s="1">
        <v>5764000</v>
      </c>
      <c r="R19" s="1" t="s">
        <v>181</v>
      </c>
    </row>
    <row r="20" spans="1:18" x14ac:dyDescent="0.3">
      <c r="A20" s="1">
        <v>17</v>
      </c>
      <c r="B20" s="3">
        <v>29</v>
      </c>
      <c r="C20" s="3">
        <v>1</v>
      </c>
      <c r="D20" s="1" t="s">
        <v>17</v>
      </c>
      <c r="E20" s="1" t="s">
        <v>38</v>
      </c>
      <c r="F20" s="1" t="s">
        <v>71</v>
      </c>
      <c r="G20" s="1" t="s">
        <v>103</v>
      </c>
      <c r="H20" s="1" t="s">
        <v>140</v>
      </c>
      <c r="I20" s="1" t="s">
        <v>158</v>
      </c>
      <c r="J20" s="1" t="s">
        <v>121</v>
      </c>
      <c r="K20" s="1">
        <v>6000</v>
      </c>
      <c r="L20" s="1">
        <v>10500</v>
      </c>
      <c r="M20" t="str">
        <f t="shared" si="0"/>
        <v>KKKNT</v>
      </c>
      <c r="N20" s="1">
        <v>63000000</v>
      </c>
      <c r="O20" s="1" t="s">
        <v>137</v>
      </c>
      <c r="P20">
        <v>0</v>
      </c>
      <c r="Q20" s="1">
        <v>63000000</v>
      </c>
      <c r="R20" s="1" t="s">
        <v>197</v>
      </c>
    </row>
    <row r="21" spans="1:18" x14ac:dyDescent="0.3">
      <c r="A21" s="1">
        <v>18</v>
      </c>
      <c r="B21" s="3">
        <v>29</v>
      </c>
      <c r="C21" s="3">
        <v>1</v>
      </c>
      <c r="D21" s="1" t="s">
        <v>17</v>
      </c>
      <c r="E21" s="1" t="s">
        <v>39</v>
      </c>
      <c r="F21" s="1" t="s">
        <v>72</v>
      </c>
      <c r="G21" s="1" t="s">
        <v>104</v>
      </c>
      <c r="H21" s="1" t="s">
        <v>140</v>
      </c>
      <c r="I21" s="1" t="s">
        <v>142</v>
      </c>
      <c r="J21" s="1" t="s">
        <v>121</v>
      </c>
      <c r="K21" s="1">
        <v>1000</v>
      </c>
      <c r="L21" s="1">
        <v>11000</v>
      </c>
      <c r="M21" t="str">
        <f t="shared" si="0"/>
        <v>KKKNT</v>
      </c>
      <c r="N21" s="1">
        <v>11000000</v>
      </c>
      <c r="O21" s="1" t="s">
        <v>137</v>
      </c>
      <c r="P21">
        <v>0</v>
      </c>
      <c r="Q21" s="1">
        <v>11000000</v>
      </c>
      <c r="R21" s="1" t="s">
        <v>182</v>
      </c>
    </row>
    <row r="22" spans="1:18" x14ac:dyDescent="0.3">
      <c r="A22" s="1">
        <v>19</v>
      </c>
      <c r="B22" s="3">
        <v>29</v>
      </c>
      <c r="C22" s="3">
        <v>1</v>
      </c>
      <c r="D22" s="1" t="s">
        <v>17</v>
      </c>
      <c r="E22" s="1" t="s">
        <v>40</v>
      </c>
      <c r="F22" s="1" t="s">
        <v>73</v>
      </c>
      <c r="G22" s="1" t="s">
        <v>105</v>
      </c>
      <c r="H22" s="1" t="s">
        <v>140</v>
      </c>
      <c r="I22" s="1" t="s">
        <v>153</v>
      </c>
      <c r="J22" s="1" t="s">
        <v>122</v>
      </c>
      <c r="K22" s="1">
        <v>850</v>
      </c>
      <c r="L22" s="1">
        <v>12000</v>
      </c>
      <c r="M22" t="str">
        <f t="shared" si="0"/>
        <v>KKKNT</v>
      </c>
      <c r="N22" s="1">
        <v>10200000</v>
      </c>
      <c r="O22" s="1" t="s">
        <v>137</v>
      </c>
      <c r="P22">
        <v>0</v>
      </c>
      <c r="Q22" s="1">
        <v>10200000</v>
      </c>
      <c r="R22" s="1" t="s">
        <v>192</v>
      </c>
    </row>
    <row r="23" spans="1:18" x14ac:dyDescent="0.3">
      <c r="A23" s="1">
        <v>20</v>
      </c>
      <c r="B23" s="3">
        <v>29</v>
      </c>
      <c r="C23" s="3">
        <v>1</v>
      </c>
      <c r="D23" s="1" t="s">
        <v>17</v>
      </c>
      <c r="E23" s="1" t="s">
        <v>41</v>
      </c>
      <c r="F23" s="1" t="s">
        <v>74</v>
      </c>
      <c r="G23" s="1" t="s">
        <v>106</v>
      </c>
      <c r="H23" s="1" t="s">
        <v>140</v>
      </c>
      <c r="I23" s="1" t="s">
        <v>152</v>
      </c>
      <c r="J23" s="1" t="s">
        <v>122</v>
      </c>
      <c r="K23" s="1">
        <v>6000</v>
      </c>
      <c r="L23" s="1">
        <v>11700</v>
      </c>
      <c r="M23" t="str">
        <f t="shared" si="0"/>
        <v>KKKNT</v>
      </c>
      <c r="N23" s="1">
        <v>70200000</v>
      </c>
      <c r="O23" s="1" t="s">
        <v>137</v>
      </c>
      <c r="P23">
        <v>0</v>
      </c>
      <c r="Q23" s="1">
        <v>70200000</v>
      </c>
      <c r="R23" s="1" t="s">
        <v>189</v>
      </c>
    </row>
    <row r="24" spans="1:18" x14ac:dyDescent="0.3">
      <c r="A24" s="1">
        <v>21</v>
      </c>
      <c r="B24" s="3">
        <v>29</v>
      </c>
      <c r="C24" s="3">
        <v>1</v>
      </c>
      <c r="D24" s="1" t="s">
        <v>17</v>
      </c>
      <c r="E24" s="1" t="s">
        <v>42</v>
      </c>
      <c r="F24" s="1" t="s">
        <v>75</v>
      </c>
      <c r="G24" s="1" t="s">
        <v>107</v>
      </c>
      <c r="H24" s="1" t="s">
        <v>147</v>
      </c>
      <c r="I24" s="1" t="s">
        <v>146</v>
      </c>
      <c r="J24" s="1" t="s">
        <v>125</v>
      </c>
      <c r="K24" s="1">
        <v>380</v>
      </c>
      <c r="L24" s="1">
        <v>22000</v>
      </c>
      <c r="M24" t="str">
        <f t="shared" si="0"/>
        <v>KKKNT</v>
      </c>
      <c r="N24" s="1">
        <v>8360000</v>
      </c>
      <c r="O24" s="1" t="s">
        <v>137</v>
      </c>
      <c r="P24">
        <v>0</v>
      </c>
      <c r="Q24" s="1">
        <v>8360000</v>
      </c>
      <c r="R24" s="1" t="s">
        <v>193</v>
      </c>
    </row>
    <row r="25" spans="1:18" x14ac:dyDescent="0.3">
      <c r="A25" s="1">
        <v>22</v>
      </c>
      <c r="B25" s="3">
        <v>29</v>
      </c>
      <c r="C25" s="3">
        <v>1</v>
      </c>
      <c r="D25" s="1" t="s">
        <v>17</v>
      </c>
      <c r="E25" s="1" t="s">
        <v>34</v>
      </c>
      <c r="F25" s="1" t="s">
        <v>67</v>
      </c>
      <c r="G25" s="1" t="s">
        <v>99</v>
      </c>
      <c r="H25" s="1" t="s">
        <v>24</v>
      </c>
      <c r="I25" s="1" t="s">
        <v>34</v>
      </c>
      <c r="J25" s="1" t="s">
        <v>122</v>
      </c>
      <c r="K25" s="1">
        <v>800</v>
      </c>
      <c r="L25" s="1">
        <v>12000</v>
      </c>
      <c r="M25" t="str">
        <f t="shared" si="0"/>
        <v>chịu thuế GTGT 5%</v>
      </c>
      <c r="N25" s="1">
        <v>9600000</v>
      </c>
      <c r="O25" s="1" t="s">
        <v>22</v>
      </c>
      <c r="P25">
        <v>480000</v>
      </c>
      <c r="Q25" s="1">
        <v>10080000</v>
      </c>
      <c r="R25" s="1" t="s">
        <v>176</v>
      </c>
    </row>
    <row r="26" spans="1:18" x14ac:dyDescent="0.3">
      <c r="A26" s="1">
        <v>22</v>
      </c>
      <c r="B26" s="3">
        <v>29</v>
      </c>
      <c r="C26" s="3">
        <v>1</v>
      </c>
      <c r="D26" s="1" t="s">
        <v>17</v>
      </c>
      <c r="E26" s="1" t="s">
        <v>34</v>
      </c>
      <c r="F26" s="1" t="s">
        <v>67</v>
      </c>
      <c r="G26" s="1" t="s">
        <v>99</v>
      </c>
      <c r="H26" s="1" t="s">
        <v>24</v>
      </c>
      <c r="I26" s="1" t="s">
        <v>34</v>
      </c>
      <c r="J26" s="1" t="s">
        <v>124</v>
      </c>
      <c r="K26" s="1">
        <v>150</v>
      </c>
      <c r="L26" s="1">
        <v>22000</v>
      </c>
      <c r="M26" t="str">
        <f t="shared" si="0"/>
        <v>chịu thuế GTGT 5%</v>
      </c>
      <c r="N26" s="1">
        <v>3300000</v>
      </c>
      <c r="O26" s="1" t="s">
        <v>22</v>
      </c>
      <c r="P26">
        <v>165000</v>
      </c>
      <c r="Q26" s="1">
        <v>3465000</v>
      </c>
      <c r="R26" s="1" t="s">
        <v>176</v>
      </c>
    </row>
    <row r="27" spans="1:18" x14ac:dyDescent="0.3">
      <c r="A27" s="1">
        <v>22</v>
      </c>
      <c r="B27" s="3">
        <v>29</v>
      </c>
      <c r="C27" s="3">
        <v>1</v>
      </c>
      <c r="D27" s="1" t="s">
        <v>17</v>
      </c>
      <c r="E27" s="1" t="s">
        <v>34</v>
      </c>
      <c r="F27" s="1" t="s">
        <v>67</v>
      </c>
      <c r="G27" s="1" t="s">
        <v>99</v>
      </c>
      <c r="H27" s="1" t="s">
        <v>24</v>
      </c>
      <c r="I27" s="1" t="s">
        <v>34</v>
      </c>
      <c r="J27" s="1" t="s">
        <v>123</v>
      </c>
      <c r="K27" s="1">
        <v>1100</v>
      </c>
      <c r="L27" s="1">
        <v>11000</v>
      </c>
      <c r="M27" t="str">
        <f t="shared" si="0"/>
        <v>chịu thuế GTGT 5%</v>
      </c>
      <c r="N27" s="1">
        <v>12100000</v>
      </c>
      <c r="O27" s="1" t="s">
        <v>22</v>
      </c>
      <c r="P27">
        <v>605000</v>
      </c>
      <c r="Q27" s="1">
        <v>12705000</v>
      </c>
      <c r="R27" s="1" t="s">
        <v>176</v>
      </c>
    </row>
    <row r="28" spans="1:18" x14ac:dyDescent="0.3">
      <c r="A28" s="1">
        <v>23</v>
      </c>
      <c r="B28" s="3">
        <v>30</v>
      </c>
      <c r="C28" s="3">
        <v>1</v>
      </c>
      <c r="D28" s="1" t="s">
        <v>17</v>
      </c>
      <c r="E28" s="1" t="s">
        <v>43</v>
      </c>
      <c r="F28" s="1" t="s">
        <v>76</v>
      </c>
      <c r="G28" s="1" t="s">
        <v>108</v>
      </c>
      <c r="H28" s="1" t="s">
        <v>24</v>
      </c>
      <c r="I28" s="1" t="s">
        <v>156</v>
      </c>
      <c r="J28" s="1" t="s">
        <v>124</v>
      </c>
      <c r="K28" s="1">
        <v>1100</v>
      </c>
      <c r="L28" s="1">
        <v>22000</v>
      </c>
      <c r="M28" t="str">
        <f t="shared" si="0"/>
        <v>KKKNT</v>
      </c>
      <c r="N28" s="1">
        <v>24200000</v>
      </c>
      <c r="O28" s="1" t="s">
        <v>137</v>
      </c>
      <c r="P28">
        <v>0</v>
      </c>
      <c r="Q28" s="1">
        <v>24200000</v>
      </c>
      <c r="R28" s="1" t="s">
        <v>192</v>
      </c>
    </row>
    <row r="29" spans="1:18" x14ac:dyDescent="0.3">
      <c r="A29" s="1">
        <v>23</v>
      </c>
      <c r="B29" s="3">
        <v>30</v>
      </c>
      <c r="C29" s="3">
        <v>1</v>
      </c>
      <c r="D29" s="1" t="s">
        <v>17</v>
      </c>
      <c r="E29" s="1" t="s">
        <v>43</v>
      </c>
      <c r="F29" s="1" t="s">
        <v>76</v>
      </c>
      <c r="G29" s="1" t="s">
        <v>108</v>
      </c>
      <c r="H29" s="1" t="s">
        <v>24</v>
      </c>
      <c r="I29" s="1" t="s">
        <v>156</v>
      </c>
      <c r="J29" s="1" t="s">
        <v>121</v>
      </c>
      <c r="K29" s="1">
        <v>500</v>
      </c>
      <c r="L29" s="1">
        <v>10700</v>
      </c>
      <c r="M29" t="str">
        <f t="shared" si="0"/>
        <v>KKKNT</v>
      </c>
      <c r="N29" s="1">
        <v>5350000</v>
      </c>
      <c r="O29" s="1" t="s">
        <v>137</v>
      </c>
      <c r="P29">
        <v>0</v>
      </c>
      <c r="Q29" s="1">
        <v>5350000</v>
      </c>
      <c r="R29" s="1" t="s">
        <v>192</v>
      </c>
    </row>
    <row r="30" spans="1:18" x14ac:dyDescent="0.3">
      <c r="A30" s="1">
        <v>24</v>
      </c>
      <c r="B30" s="3">
        <v>1</v>
      </c>
      <c r="C30" s="3">
        <v>2</v>
      </c>
      <c r="D30" s="1" t="s">
        <v>17</v>
      </c>
      <c r="E30" s="1" t="s">
        <v>26</v>
      </c>
      <c r="F30" s="1" t="s">
        <v>59</v>
      </c>
      <c r="G30" s="1" t="s">
        <v>91</v>
      </c>
      <c r="H30" s="1" t="s">
        <v>24</v>
      </c>
      <c r="I30" s="1" t="s">
        <v>166</v>
      </c>
      <c r="J30" s="1" t="s">
        <v>21</v>
      </c>
      <c r="K30" s="1">
        <v>873</v>
      </c>
      <c r="L30" s="1">
        <v>11000</v>
      </c>
      <c r="M30" t="str">
        <f t="shared" si="0"/>
        <v>chịu thuế GTGT 5%</v>
      </c>
      <c r="N30" s="1">
        <v>9603000</v>
      </c>
      <c r="O30" s="1" t="s">
        <v>22</v>
      </c>
      <c r="P30">
        <v>480150</v>
      </c>
      <c r="Q30" s="1">
        <v>10083150</v>
      </c>
      <c r="R30" s="1" t="s">
        <v>173</v>
      </c>
    </row>
    <row r="31" spans="1:18" x14ac:dyDescent="0.3">
      <c r="A31" s="1">
        <v>25</v>
      </c>
      <c r="B31" s="3">
        <v>1</v>
      </c>
      <c r="C31" s="3">
        <v>2</v>
      </c>
      <c r="D31" s="1" t="s">
        <v>17</v>
      </c>
      <c r="E31" s="1" t="s">
        <v>37</v>
      </c>
      <c r="F31" s="1" t="s">
        <v>70</v>
      </c>
      <c r="G31" s="1" t="s">
        <v>102</v>
      </c>
      <c r="H31" s="1" t="s">
        <v>24</v>
      </c>
      <c r="I31" s="1" t="s">
        <v>168</v>
      </c>
      <c r="J31" s="1" t="s">
        <v>122</v>
      </c>
      <c r="K31" s="1">
        <v>4000</v>
      </c>
      <c r="L31" s="1">
        <v>12000</v>
      </c>
      <c r="M31" t="str">
        <f t="shared" si="0"/>
        <v>chịu thuế GTGT 5%</v>
      </c>
      <c r="N31" s="1">
        <v>48000000</v>
      </c>
      <c r="O31" s="1" t="s">
        <v>22</v>
      </c>
      <c r="P31">
        <v>2400000</v>
      </c>
      <c r="Q31" s="1">
        <v>50400000</v>
      </c>
      <c r="R31" s="1" t="s">
        <v>172</v>
      </c>
    </row>
    <row r="32" spans="1:18" x14ac:dyDescent="0.3">
      <c r="A32" s="1">
        <v>26</v>
      </c>
      <c r="B32" s="3">
        <v>2</v>
      </c>
      <c r="C32" s="3">
        <v>2</v>
      </c>
      <c r="D32" s="1" t="s">
        <v>17</v>
      </c>
      <c r="E32" s="1" t="s">
        <v>28</v>
      </c>
      <c r="F32" s="1" t="s">
        <v>61</v>
      </c>
      <c r="G32" s="1" t="s">
        <v>93</v>
      </c>
      <c r="H32" s="1" t="s">
        <v>147</v>
      </c>
      <c r="I32" s="1" t="s">
        <v>159</v>
      </c>
      <c r="J32" s="1" t="s">
        <v>122</v>
      </c>
      <c r="K32" s="1">
        <v>2500</v>
      </c>
      <c r="L32" s="1">
        <v>11100</v>
      </c>
      <c r="M32" t="str">
        <f t="shared" si="0"/>
        <v>KKKNT</v>
      </c>
      <c r="N32" s="1">
        <v>27750000</v>
      </c>
      <c r="O32" s="1" t="s">
        <v>137</v>
      </c>
      <c r="P32">
        <v>0</v>
      </c>
      <c r="Q32" s="1">
        <v>27750000</v>
      </c>
      <c r="R32" s="1" t="s">
        <v>179</v>
      </c>
    </row>
    <row r="33" spans="1:18" x14ac:dyDescent="0.3">
      <c r="A33" s="1">
        <v>27</v>
      </c>
      <c r="B33" s="3">
        <v>3</v>
      </c>
      <c r="C33" s="3">
        <v>2</v>
      </c>
      <c r="D33" s="1" t="s">
        <v>17</v>
      </c>
      <c r="E33" s="1" t="s">
        <v>44</v>
      </c>
      <c r="F33" s="1" t="s">
        <v>77</v>
      </c>
      <c r="G33" s="1" t="s">
        <v>109</v>
      </c>
      <c r="H33" s="1" t="s">
        <v>140</v>
      </c>
      <c r="I33" s="1" t="s">
        <v>157</v>
      </c>
      <c r="J33" s="1" t="s">
        <v>123</v>
      </c>
      <c r="K33" s="1">
        <v>2800</v>
      </c>
      <c r="L33" s="1">
        <v>12000</v>
      </c>
      <c r="M33" t="str">
        <f t="shared" si="0"/>
        <v>KKKNT</v>
      </c>
      <c r="N33" s="1">
        <v>33600000</v>
      </c>
      <c r="O33" s="1" t="s">
        <v>137</v>
      </c>
      <c r="P33">
        <v>0</v>
      </c>
      <c r="Q33" s="1">
        <v>33600000</v>
      </c>
      <c r="R33" s="1" t="s">
        <v>178</v>
      </c>
    </row>
    <row r="34" spans="1:18" x14ac:dyDescent="0.3">
      <c r="A34" s="1">
        <v>27</v>
      </c>
      <c r="B34" s="3">
        <v>3</v>
      </c>
      <c r="C34" s="3">
        <v>2</v>
      </c>
      <c r="D34" s="1" t="s">
        <v>17</v>
      </c>
      <c r="E34" s="1" t="s">
        <v>44</v>
      </c>
      <c r="F34" s="1" t="s">
        <v>77</v>
      </c>
      <c r="G34" s="1" t="s">
        <v>109</v>
      </c>
      <c r="H34" s="1" t="s">
        <v>140</v>
      </c>
      <c r="I34" s="1" t="s">
        <v>157</v>
      </c>
      <c r="J34" s="1" t="s">
        <v>21</v>
      </c>
      <c r="K34" s="1">
        <v>1600</v>
      </c>
      <c r="L34" s="1">
        <v>10950</v>
      </c>
      <c r="M34" t="str">
        <f t="shared" si="0"/>
        <v>KKKNT</v>
      </c>
      <c r="N34" s="1">
        <v>17520000</v>
      </c>
      <c r="O34" s="1" t="s">
        <v>137</v>
      </c>
      <c r="P34">
        <v>0</v>
      </c>
      <c r="Q34" s="1">
        <v>17520000</v>
      </c>
      <c r="R34" s="1" t="s">
        <v>178</v>
      </c>
    </row>
    <row r="35" spans="1:18" x14ac:dyDescent="0.3">
      <c r="A35" s="1">
        <v>27</v>
      </c>
      <c r="B35" s="3">
        <v>3</v>
      </c>
      <c r="C35" s="3">
        <v>2</v>
      </c>
      <c r="D35" s="1" t="s">
        <v>17</v>
      </c>
      <c r="E35" s="1" t="s">
        <v>44</v>
      </c>
      <c r="F35" s="1" t="s">
        <v>77</v>
      </c>
      <c r="G35" s="1" t="s">
        <v>109</v>
      </c>
      <c r="H35" s="1" t="s">
        <v>140</v>
      </c>
      <c r="I35" s="1" t="s">
        <v>157</v>
      </c>
      <c r="J35" s="1" t="s">
        <v>126</v>
      </c>
      <c r="K35" s="1">
        <v>3000</v>
      </c>
      <c r="L35" s="1">
        <v>11500</v>
      </c>
      <c r="M35" t="str">
        <f t="shared" si="0"/>
        <v>KKKNT</v>
      </c>
      <c r="N35" s="1">
        <v>34500000</v>
      </c>
      <c r="O35" s="1" t="s">
        <v>137</v>
      </c>
      <c r="P35">
        <v>0</v>
      </c>
      <c r="Q35" s="1">
        <v>34500000</v>
      </c>
      <c r="R35" s="1" t="s">
        <v>178</v>
      </c>
    </row>
    <row r="36" spans="1:18" x14ac:dyDescent="0.3">
      <c r="A36" s="1">
        <v>27</v>
      </c>
      <c r="B36" s="3">
        <v>3</v>
      </c>
      <c r="C36" s="3">
        <v>2</v>
      </c>
      <c r="D36" s="1" t="s">
        <v>17</v>
      </c>
      <c r="E36" s="1" t="s">
        <v>44</v>
      </c>
      <c r="F36" s="1" t="s">
        <v>77</v>
      </c>
      <c r="G36" s="1" t="s">
        <v>109</v>
      </c>
      <c r="H36" s="1" t="s">
        <v>140</v>
      </c>
      <c r="I36" s="1" t="s">
        <v>157</v>
      </c>
      <c r="J36" s="1" t="s">
        <v>124</v>
      </c>
      <c r="K36" s="1">
        <v>1000</v>
      </c>
      <c r="L36" s="1">
        <v>26000</v>
      </c>
      <c r="M36" t="str">
        <f t="shared" si="0"/>
        <v>KKKNT</v>
      </c>
      <c r="N36" s="1">
        <v>26000000</v>
      </c>
      <c r="O36" s="1" t="s">
        <v>137</v>
      </c>
      <c r="P36">
        <v>0</v>
      </c>
      <c r="Q36" s="1">
        <v>26000000</v>
      </c>
      <c r="R36" s="1" t="s">
        <v>178</v>
      </c>
    </row>
    <row r="37" spans="1:18" x14ac:dyDescent="0.3">
      <c r="A37" s="1">
        <v>28</v>
      </c>
      <c r="B37" s="3">
        <v>6</v>
      </c>
      <c r="C37" s="3">
        <v>2</v>
      </c>
      <c r="D37" s="1" t="s">
        <v>17</v>
      </c>
      <c r="E37" s="1" t="s">
        <v>45</v>
      </c>
      <c r="F37" s="1" t="s">
        <v>78</v>
      </c>
      <c r="G37" s="1" t="s">
        <v>110</v>
      </c>
      <c r="H37" s="1" t="s">
        <v>24</v>
      </c>
      <c r="I37" s="1" t="s">
        <v>139</v>
      </c>
      <c r="J37" s="1" t="s">
        <v>124</v>
      </c>
      <c r="K37" s="1">
        <v>4800</v>
      </c>
      <c r="L37" s="1">
        <v>22000</v>
      </c>
      <c r="M37" t="str">
        <f t="shared" si="0"/>
        <v>KKKNT</v>
      </c>
      <c r="N37" s="1">
        <v>105600000</v>
      </c>
      <c r="O37" s="1" t="s">
        <v>137</v>
      </c>
      <c r="P37">
        <v>0</v>
      </c>
      <c r="Q37" s="1">
        <v>105600000</v>
      </c>
      <c r="R37" s="1" t="s">
        <v>177</v>
      </c>
    </row>
    <row r="38" spans="1:18" x14ac:dyDescent="0.3">
      <c r="A38" s="1">
        <v>29</v>
      </c>
      <c r="B38" s="3">
        <v>8</v>
      </c>
      <c r="C38" s="3">
        <v>2</v>
      </c>
      <c r="D38" s="1" t="s">
        <v>17</v>
      </c>
      <c r="E38" s="1" t="s">
        <v>46</v>
      </c>
      <c r="F38" s="1" t="s">
        <v>79</v>
      </c>
      <c r="G38" s="1" t="s">
        <v>111</v>
      </c>
      <c r="H38" s="1" t="s">
        <v>140</v>
      </c>
      <c r="I38" s="1" t="s">
        <v>165</v>
      </c>
      <c r="J38" s="1" t="s">
        <v>127</v>
      </c>
      <c r="K38" s="1">
        <v>2700</v>
      </c>
      <c r="L38" s="1">
        <v>14600</v>
      </c>
      <c r="M38" t="str">
        <f t="shared" si="0"/>
        <v>chịu thuế GTGT 5%</v>
      </c>
      <c r="N38" s="1">
        <v>39420000</v>
      </c>
      <c r="O38" s="1" t="s">
        <v>22</v>
      </c>
      <c r="P38">
        <v>1971000</v>
      </c>
      <c r="Q38" s="1">
        <v>41391000</v>
      </c>
      <c r="R38" s="1" t="s">
        <v>187</v>
      </c>
    </row>
    <row r="39" spans="1:18" x14ac:dyDescent="0.3">
      <c r="A39" s="1">
        <v>30</v>
      </c>
      <c r="B39" s="3">
        <v>12</v>
      </c>
      <c r="C39" s="3">
        <v>2</v>
      </c>
      <c r="D39" s="1" t="s">
        <v>17</v>
      </c>
      <c r="E39" s="1" t="s">
        <v>44</v>
      </c>
      <c r="F39" s="1" t="s">
        <v>77</v>
      </c>
      <c r="G39" s="1" t="s">
        <v>109</v>
      </c>
      <c r="H39" s="1" t="s">
        <v>140</v>
      </c>
      <c r="I39" s="1" t="s">
        <v>157</v>
      </c>
      <c r="J39" s="1" t="s">
        <v>127</v>
      </c>
      <c r="K39" s="1">
        <v>2000</v>
      </c>
      <c r="L39" s="1">
        <v>14600</v>
      </c>
      <c r="M39" t="str">
        <f t="shared" si="0"/>
        <v>KKKNT</v>
      </c>
      <c r="N39" s="1">
        <v>29200000</v>
      </c>
      <c r="O39" s="1" t="s">
        <v>137</v>
      </c>
      <c r="P39">
        <v>0</v>
      </c>
      <c r="Q39" s="1">
        <v>29200000</v>
      </c>
      <c r="R39" s="1" t="s">
        <v>178</v>
      </c>
    </row>
    <row r="40" spans="1:18" x14ac:dyDescent="0.3">
      <c r="A40" s="1">
        <v>30</v>
      </c>
      <c r="B40" s="3">
        <v>12</v>
      </c>
      <c r="C40" s="3">
        <v>2</v>
      </c>
      <c r="D40" s="1" t="s">
        <v>17</v>
      </c>
      <c r="E40" s="1" t="s">
        <v>44</v>
      </c>
      <c r="F40" s="1" t="s">
        <v>77</v>
      </c>
      <c r="G40" s="1" t="s">
        <v>109</v>
      </c>
      <c r="H40" s="1" t="s">
        <v>140</v>
      </c>
      <c r="I40" s="1" t="s">
        <v>157</v>
      </c>
      <c r="J40" s="1" t="s">
        <v>21</v>
      </c>
      <c r="K40" s="1">
        <v>6172</v>
      </c>
      <c r="L40" s="1">
        <v>10500</v>
      </c>
      <c r="M40" t="str">
        <f t="shared" si="0"/>
        <v>KKKNT</v>
      </c>
      <c r="N40" s="1">
        <v>64806000</v>
      </c>
      <c r="O40" s="1" t="s">
        <v>137</v>
      </c>
      <c r="P40">
        <v>0</v>
      </c>
      <c r="Q40" s="1">
        <v>64806000</v>
      </c>
      <c r="R40" s="1" t="s">
        <v>178</v>
      </c>
    </row>
    <row r="41" spans="1:18" x14ac:dyDescent="0.3">
      <c r="A41" s="1">
        <v>30</v>
      </c>
      <c r="B41" s="3">
        <v>12</v>
      </c>
      <c r="C41" s="3">
        <v>2</v>
      </c>
      <c r="D41" s="1" t="s">
        <v>17</v>
      </c>
      <c r="E41" s="1" t="s">
        <v>44</v>
      </c>
      <c r="F41" s="1" t="s">
        <v>77</v>
      </c>
      <c r="G41" s="1" t="s">
        <v>109</v>
      </c>
      <c r="H41" s="1" t="s">
        <v>140</v>
      </c>
      <c r="I41" s="1" t="s">
        <v>157</v>
      </c>
      <c r="J41" s="1" t="s">
        <v>126</v>
      </c>
      <c r="K41" s="1">
        <v>4800</v>
      </c>
      <c r="L41" s="1">
        <v>11000</v>
      </c>
      <c r="M41" t="str">
        <f t="shared" si="0"/>
        <v>KKKNT</v>
      </c>
      <c r="N41" s="1">
        <v>52800000</v>
      </c>
      <c r="O41" s="1" t="s">
        <v>137</v>
      </c>
      <c r="P41">
        <v>0</v>
      </c>
      <c r="Q41" s="1">
        <v>52800000</v>
      </c>
      <c r="R41" s="1" t="s">
        <v>178</v>
      </c>
    </row>
    <row r="42" spans="1:18" x14ac:dyDescent="0.3">
      <c r="A42" s="1">
        <v>30</v>
      </c>
      <c r="B42" s="3">
        <v>12</v>
      </c>
      <c r="C42" s="3">
        <v>2</v>
      </c>
      <c r="D42" s="1" t="s">
        <v>17</v>
      </c>
      <c r="E42" s="1" t="s">
        <v>44</v>
      </c>
      <c r="F42" s="1" t="s">
        <v>77</v>
      </c>
      <c r="G42" s="1" t="s">
        <v>109</v>
      </c>
      <c r="H42" s="1" t="s">
        <v>140</v>
      </c>
      <c r="I42" s="1" t="s">
        <v>157</v>
      </c>
      <c r="J42" s="1" t="s">
        <v>128</v>
      </c>
      <c r="K42" s="1">
        <v>3000</v>
      </c>
      <c r="L42" s="1">
        <v>14100</v>
      </c>
      <c r="M42" t="str">
        <f t="shared" si="0"/>
        <v>KKKNT</v>
      </c>
      <c r="N42" s="1">
        <v>42300000</v>
      </c>
      <c r="O42" s="1" t="s">
        <v>137</v>
      </c>
      <c r="P42">
        <v>0</v>
      </c>
      <c r="Q42" s="1">
        <v>42300000</v>
      </c>
      <c r="R42" s="1" t="s">
        <v>178</v>
      </c>
    </row>
    <row r="43" spans="1:18" x14ac:dyDescent="0.3">
      <c r="A43" s="1">
        <v>31</v>
      </c>
      <c r="B43" s="3">
        <v>12</v>
      </c>
      <c r="C43" s="3">
        <v>2</v>
      </c>
      <c r="D43" s="1" t="s">
        <v>17</v>
      </c>
      <c r="E43" s="1" t="s">
        <v>28</v>
      </c>
      <c r="F43" s="1" t="s">
        <v>61</v>
      </c>
      <c r="G43" s="1" t="s">
        <v>93</v>
      </c>
      <c r="H43" s="1" t="s">
        <v>147</v>
      </c>
      <c r="I43" s="1" t="s">
        <v>159</v>
      </c>
      <c r="J43" s="1" t="s">
        <v>126</v>
      </c>
      <c r="K43" s="1">
        <v>2000</v>
      </c>
      <c r="L43" s="1">
        <v>11000</v>
      </c>
      <c r="M43" t="str">
        <f t="shared" si="0"/>
        <v>KKKNT</v>
      </c>
      <c r="N43" s="1">
        <v>22000000</v>
      </c>
      <c r="O43" s="1" t="s">
        <v>137</v>
      </c>
      <c r="P43">
        <v>0</v>
      </c>
      <c r="Q43" s="1">
        <v>22000000</v>
      </c>
      <c r="R43" s="1" t="s">
        <v>179</v>
      </c>
    </row>
    <row r="44" spans="1:18" x14ac:dyDescent="0.3">
      <c r="A44" s="1">
        <v>32</v>
      </c>
      <c r="B44" s="3">
        <v>25</v>
      </c>
      <c r="C44" s="3">
        <v>2</v>
      </c>
      <c r="D44" s="1" t="s">
        <v>17</v>
      </c>
      <c r="E44" s="1" t="s">
        <v>39</v>
      </c>
      <c r="F44" s="1" t="s">
        <v>72</v>
      </c>
      <c r="G44" s="1" t="s">
        <v>104</v>
      </c>
      <c r="H44" s="1" t="s">
        <v>140</v>
      </c>
      <c r="I44" s="1" t="s">
        <v>142</v>
      </c>
      <c r="J44" s="1" t="s">
        <v>126</v>
      </c>
      <c r="K44" s="1">
        <v>1000</v>
      </c>
      <c r="L44" s="1">
        <v>11100</v>
      </c>
      <c r="M44" t="str">
        <f t="shared" si="0"/>
        <v>KKKNT</v>
      </c>
      <c r="N44" s="1">
        <v>11100000</v>
      </c>
      <c r="O44" s="1" t="s">
        <v>137</v>
      </c>
      <c r="P44">
        <v>0</v>
      </c>
      <c r="Q44" s="1">
        <v>11100000</v>
      </c>
      <c r="R44" s="1" t="s">
        <v>182</v>
      </c>
    </row>
    <row r="45" spans="1:18" x14ac:dyDescent="0.3">
      <c r="A45" s="1">
        <v>33</v>
      </c>
      <c r="B45" s="3">
        <v>26</v>
      </c>
      <c r="C45" s="3">
        <v>2</v>
      </c>
      <c r="D45" s="1" t="s">
        <v>17</v>
      </c>
      <c r="E45" s="1" t="s">
        <v>47</v>
      </c>
      <c r="F45" s="1" t="s">
        <v>80</v>
      </c>
      <c r="G45" s="1" t="s">
        <v>99</v>
      </c>
      <c r="H45" s="1" t="s">
        <v>24</v>
      </c>
      <c r="I45" s="1" t="s">
        <v>34</v>
      </c>
      <c r="J45" s="1" t="s">
        <v>123</v>
      </c>
      <c r="K45" s="1">
        <v>900</v>
      </c>
      <c r="L45" s="1">
        <v>11000</v>
      </c>
      <c r="M45" t="str">
        <f t="shared" si="0"/>
        <v>chịu thuế GTGT 5%</v>
      </c>
      <c r="N45" s="1">
        <v>9900000</v>
      </c>
      <c r="O45" s="1" t="s">
        <v>22</v>
      </c>
      <c r="P45">
        <v>495000</v>
      </c>
      <c r="Q45" s="1">
        <v>10395000</v>
      </c>
      <c r="R45" s="1" t="s">
        <v>176</v>
      </c>
    </row>
    <row r="46" spans="1:18" x14ac:dyDescent="0.3">
      <c r="A46" s="1">
        <v>33</v>
      </c>
      <c r="B46" s="3">
        <v>26</v>
      </c>
      <c r="C46" s="3">
        <v>2</v>
      </c>
      <c r="D46" s="1" t="s">
        <v>17</v>
      </c>
      <c r="E46" s="1" t="s">
        <v>47</v>
      </c>
      <c r="F46" s="1" t="s">
        <v>80</v>
      </c>
      <c r="G46" s="1" t="s">
        <v>99</v>
      </c>
      <c r="H46" s="1" t="s">
        <v>24</v>
      </c>
      <c r="I46" s="1" t="s">
        <v>34</v>
      </c>
      <c r="J46" s="1" t="s">
        <v>124</v>
      </c>
      <c r="K46" s="1">
        <v>300</v>
      </c>
      <c r="L46" s="1">
        <v>11000</v>
      </c>
      <c r="M46" t="str">
        <f t="shared" si="0"/>
        <v>chịu thuế GTGT 5%</v>
      </c>
      <c r="N46" s="1">
        <v>3300000</v>
      </c>
      <c r="O46" s="1" t="s">
        <v>22</v>
      </c>
      <c r="P46">
        <v>165000</v>
      </c>
      <c r="Q46" s="1">
        <v>3465000</v>
      </c>
      <c r="R46" s="1" t="s">
        <v>176</v>
      </c>
    </row>
    <row r="47" spans="1:18" x14ac:dyDescent="0.3">
      <c r="A47" s="1">
        <v>33</v>
      </c>
      <c r="B47" s="3">
        <v>26</v>
      </c>
      <c r="C47" s="3">
        <v>2</v>
      </c>
      <c r="D47" s="1" t="s">
        <v>17</v>
      </c>
      <c r="E47" s="1" t="s">
        <v>47</v>
      </c>
      <c r="F47" s="1" t="s">
        <v>80</v>
      </c>
      <c r="G47" s="1" t="s">
        <v>99</v>
      </c>
      <c r="H47" s="1" t="s">
        <v>24</v>
      </c>
      <c r="I47" s="1" t="s">
        <v>34</v>
      </c>
      <c r="J47" s="1" t="s">
        <v>126</v>
      </c>
      <c r="K47" s="1">
        <v>250</v>
      </c>
      <c r="L47" s="1">
        <v>22000</v>
      </c>
      <c r="M47" t="str">
        <f t="shared" si="0"/>
        <v>chịu thuế GTGT 5%</v>
      </c>
      <c r="N47" s="1">
        <v>5500000</v>
      </c>
      <c r="O47" s="1" t="s">
        <v>22</v>
      </c>
      <c r="P47">
        <v>275000</v>
      </c>
      <c r="Q47" s="1">
        <v>5775000</v>
      </c>
      <c r="R47" s="1" t="s">
        <v>176</v>
      </c>
    </row>
    <row r="48" spans="1:18" x14ac:dyDescent="0.3">
      <c r="A48" s="1">
        <v>34</v>
      </c>
      <c r="B48" s="3">
        <v>27</v>
      </c>
      <c r="C48" s="3">
        <v>2</v>
      </c>
      <c r="D48" s="1" t="s">
        <v>17</v>
      </c>
      <c r="E48" s="1" t="s">
        <v>40</v>
      </c>
      <c r="F48" s="1" t="s">
        <v>73</v>
      </c>
      <c r="G48" s="1" t="s">
        <v>105</v>
      </c>
      <c r="H48" s="1" t="s">
        <v>140</v>
      </c>
      <c r="I48" s="1" t="s">
        <v>153</v>
      </c>
      <c r="J48" s="1" t="s">
        <v>128</v>
      </c>
      <c r="K48" s="1">
        <v>800</v>
      </c>
      <c r="L48" s="1">
        <v>14000</v>
      </c>
      <c r="M48" t="str">
        <f t="shared" si="0"/>
        <v>KKKNT</v>
      </c>
      <c r="N48" s="1">
        <v>11200000</v>
      </c>
      <c r="O48" s="1" t="s">
        <v>137</v>
      </c>
      <c r="P48">
        <v>0</v>
      </c>
      <c r="Q48" s="1">
        <v>11200000</v>
      </c>
      <c r="R48" s="1" t="s">
        <v>192</v>
      </c>
    </row>
    <row r="49" spans="1:18" x14ac:dyDescent="0.3">
      <c r="A49" s="1">
        <v>35</v>
      </c>
      <c r="B49" s="3">
        <v>28</v>
      </c>
      <c r="C49" s="3">
        <v>2</v>
      </c>
      <c r="D49" s="1" t="s">
        <v>17</v>
      </c>
      <c r="E49" s="1" t="s">
        <v>47</v>
      </c>
      <c r="F49" s="1" t="s">
        <v>80</v>
      </c>
      <c r="G49" s="1" t="s">
        <v>99</v>
      </c>
      <c r="H49" s="1" t="s">
        <v>24</v>
      </c>
      <c r="I49" s="1" t="s">
        <v>34</v>
      </c>
      <c r="J49" s="1" t="s">
        <v>124</v>
      </c>
      <c r="K49" s="1">
        <v>100</v>
      </c>
      <c r="L49" s="1">
        <v>22000</v>
      </c>
      <c r="M49" t="str">
        <f t="shared" si="0"/>
        <v>chịu thuế GTGT 5%</v>
      </c>
      <c r="N49" s="1">
        <v>2200000</v>
      </c>
      <c r="O49" s="1" t="s">
        <v>22</v>
      </c>
      <c r="P49">
        <v>110000</v>
      </c>
      <c r="Q49" s="1">
        <v>2310000</v>
      </c>
      <c r="R49" s="1" t="s">
        <v>176</v>
      </c>
    </row>
    <row r="50" spans="1:18" x14ac:dyDescent="0.3">
      <c r="A50" s="1">
        <v>35</v>
      </c>
      <c r="B50" s="3">
        <v>28</v>
      </c>
      <c r="C50" s="3">
        <v>2</v>
      </c>
      <c r="D50" s="1" t="s">
        <v>17</v>
      </c>
      <c r="E50" s="1" t="s">
        <v>47</v>
      </c>
      <c r="F50" s="1" t="s">
        <v>80</v>
      </c>
      <c r="G50" s="1" t="s">
        <v>99</v>
      </c>
      <c r="H50" s="1" t="s">
        <v>24</v>
      </c>
      <c r="I50" s="1" t="s">
        <v>34</v>
      </c>
      <c r="J50" s="1" t="s">
        <v>123</v>
      </c>
      <c r="K50" s="1">
        <v>900</v>
      </c>
      <c r="L50" s="1">
        <v>11000</v>
      </c>
      <c r="M50" t="str">
        <f t="shared" si="0"/>
        <v>chịu thuế GTGT 5%</v>
      </c>
      <c r="N50" s="1">
        <v>9900000</v>
      </c>
      <c r="O50" s="1" t="s">
        <v>22</v>
      </c>
      <c r="P50">
        <v>495000</v>
      </c>
      <c r="Q50" s="1">
        <v>10395000</v>
      </c>
      <c r="R50" s="1" t="s">
        <v>176</v>
      </c>
    </row>
    <row r="51" spans="1:18" x14ac:dyDescent="0.3">
      <c r="A51" s="1">
        <v>35</v>
      </c>
      <c r="B51" s="3">
        <v>28</v>
      </c>
      <c r="C51" s="3">
        <v>2</v>
      </c>
      <c r="D51" s="1" t="s">
        <v>17</v>
      </c>
      <c r="E51" s="1" t="s">
        <v>47</v>
      </c>
      <c r="F51" s="1" t="s">
        <v>80</v>
      </c>
      <c r="G51" s="1" t="s">
        <v>99</v>
      </c>
      <c r="H51" s="1" t="s">
        <v>24</v>
      </c>
      <c r="I51" s="1" t="s">
        <v>34</v>
      </c>
      <c r="J51" s="1" t="s">
        <v>126</v>
      </c>
      <c r="K51" s="1">
        <v>950</v>
      </c>
      <c r="L51" s="1">
        <v>11000</v>
      </c>
      <c r="M51" t="str">
        <f t="shared" si="0"/>
        <v>chịu thuế GTGT 5%</v>
      </c>
      <c r="N51" s="1">
        <v>10450000</v>
      </c>
      <c r="O51" s="1" t="s">
        <v>22</v>
      </c>
      <c r="P51">
        <v>522500</v>
      </c>
      <c r="Q51" s="1">
        <v>10972500</v>
      </c>
      <c r="R51" s="1" t="s">
        <v>176</v>
      </c>
    </row>
    <row r="52" spans="1:18" x14ac:dyDescent="0.3">
      <c r="A52" s="1">
        <v>36</v>
      </c>
      <c r="B52" s="3">
        <v>28</v>
      </c>
      <c r="C52" s="3">
        <v>2</v>
      </c>
      <c r="D52" s="1" t="s">
        <v>17</v>
      </c>
      <c r="E52" s="1" t="s">
        <v>25</v>
      </c>
      <c r="F52" s="1" t="s">
        <v>58</v>
      </c>
      <c r="G52" s="1" t="s">
        <v>90</v>
      </c>
      <c r="H52" s="1" t="s">
        <v>140</v>
      </c>
      <c r="I52" s="1" t="s">
        <v>163</v>
      </c>
      <c r="J52" s="1" t="s">
        <v>126</v>
      </c>
      <c r="K52" s="1">
        <v>552</v>
      </c>
      <c r="L52" s="1">
        <v>11000</v>
      </c>
      <c r="M52" t="str">
        <f t="shared" si="0"/>
        <v>KKKNT</v>
      </c>
      <c r="N52" s="1">
        <v>6072000</v>
      </c>
      <c r="O52" s="1" t="s">
        <v>137</v>
      </c>
      <c r="P52">
        <v>0</v>
      </c>
      <c r="Q52" s="1">
        <v>6072000</v>
      </c>
      <c r="R52" s="1" t="s">
        <v>183</v>
      </c>
    </row>
    <row r="53" spans="1:18" x14ac:dyDescent="0.3">
      <c r="A53" s="1">
        <v>37</v>
      </c>
      <c r="B53" s="3">
        <v>28</v>
      </c>
      <c r="C53" s="3">
        <v>2</v>
      </c>
      <c r="D53" s="1" t="s">
        <v>17</v>
      </c>
      <c r="E53" s="1" t="s">
        <v>25</v>
      </c>
      <c r="F53" s="1" t="s">
        <v>58</v>
      </c>
      <c r="G53" s="1" t="s">
        <v>90</v>
      </c>
      <c r="H53" s="1" t="s">
        <v>140</v>
      </c>
      <c r="I53" s="1" t="s">
        <v>163</v>
      </c>
      <c r="J53" s="1" t="s">
        <v>126</v>
      </c>
      <c r="K53" s="1">
        <v>384</v>
      </c>
      <c r="L53" s="1">
        <v>11000</v>
      </c>
      <c r="M53" t="str">
        <f t="shared" si="0"/>
        <v>KKKNT</v>
      </c>
      <c r="N53" s="1">
        <v>4224000</v>
      </c>
      <c r="O53" s="1" t="s">
        <v>137</v>
      </c>
      <c r="P53">
        <v>0</v>
      </c>
      <c r="Q53" s="1">
        <v>4224000</v>
      </c>
      <c r="R53" s="1" t="s">
        <v>183</v>
      </c>
    </row>
    <row r="54" spans="1:18" x14ac:dyDescent="0.3">
      <c r="A54" s="1">
        <v>38</v>
      </c>
      <c r="B54" s="3">
        <v>28</v>
      </c>
      <c r="C54" s="3">
        <v>2</v>
      </c>
      <c r="D54" s="1" t="s">
        <v>17</v>
      </c>
      <c r="E54" s="1" t="s">
        <v>48</v>
      </c>
      <c r="F54" s="1" t="s">
        <v>81</v>
      </c>
      <c r="G54" s="1" t="s">
        <v>112</v>
      </c>
      <c r="H54" s="1" t="s">
        <v>140</v>
      </c>
      <c r="I54" s="1" t="s">
        <v>141</v>
      </c>
      <c r="J54" s="1" t="s">
        <v>126</v>
      </c>
      <c r="K54" s="1">
        <v>154</v>
      </c>
      <c r="L54" s="1">
        <v>11000</v>
      </c>
      <c r="M54" t="str">
        <f t="shared" si="0"/>
        <v>KKKNT</v>
      </c>
      <c r="N54" s="1">
        <v>1694000</v>
      </c>
      <c r="O54" s="1" t="s">
        <v>137</v>
      </c>
      <c r="P54">
        <v>0</v>
      </c>
      <c r="Q54" s="1">
        <v>1694000</v>
      </c>
      <c r="R54" s="1" t="s">
        <v>186</v>
      </c>
    </row>
    <row r="55" spans="1:18" x14ac:dyDescent="0.3">
      <c r="A55" s="1">
        <v>39</v>
      </c>
      <c r="B55" s="3">
        <v>28</v>
      </c>
      <c r="C55" s="3">
        <v>2</v>
      </c>
      <c r="D55" s="1" t="s">
        <v>17</v>
      </c>
      <c r="E55" s="1" t="s">
        <v>31</v>
      </c>
      <c r="F55" s="1" t="s">
        <v>64</v>
      </c>
      <c r="G55" s="1" t="s">
        <v>96</v>
      </c>
      <c r="H55" s="1" t="s">
        <v>140</v>
      </c>
      <c r="I55" s="1" t="s">
        <v>144</v>
      </c>
      <c r="J55" s="1" t="s">
        <v>126</v>
      </c>
      <c r="K55" s="1">
        <v>405</v>
      </c>
      <c r="L55" s="1">
        <v>11000</v>
      </c>
      <c r="M55" t="str">
        <f t="shared" si="0"/>
        <v>KKKNT</v>
      </c>
      <c r="N55" s="1">
        <v>4455000</v>
      </c>
      <c r="O55" s="1" t="s">
        <v>137</v>
      </c>
      <c r="P55">
        <v>0</v>
      </c>
      <c r="Q55" s="1">
        <v>4455000</v>
      </c>
      <c r="R55" s="1" t="s">
        <v>185</v>
      </c>
    </row>
    <row r="56" spans="1:18" x14ac:dyDescent="0.3">
      <c r="A56" s="1">
        <v>40</v>
      </c>
      <c r="B56" s="3">
        <v>28</v>
      </c>
      <c r="C56" s="3">
        <v>2</v>
      </c>
      <c r="D56" s="1" t="s">
        <v>17</v>
      </c>
      <c r="E56" s="1" t="s">
        <v>35</v>
      </c>
      <c r="F56" s="1" t="s">
        <v>68</v>
      </c>
      <c r="G56" s="1" t="s">
        <v>100</v>
      </c>
      <c r="H56" s="1" t="s">
        <v>24</v>
      </c>
      <c r="I56" s="1" t="s">
        <v>149</v>
      </c>
      <c r="J56" s="1" t="s">
        <v>126</v>
      </c>
      <c r="K56" s="1">
        <v>2728</v>
      </c>
      <c r="L56" s="1">
        <v>11000</v>
      </c>
      <c r="M56" t="str">
        <f t="shared" si="0"/>
        <v>KKKNT</v>
      </c>
      <c r="N56" s="1">
        <v>30008000</v>
      </c>
      <c r="O56" s="1" t="s">
        <v>137</v>
      </c>
      <c r="P56">
        <v>0</v>
      </c>
      <c r="Q56" s="1">
        <v>30008000</v>
      </c>
      <c r="R56" s="1" t="s">
        <v>179</v>
      </c>
    </row>
    <row r="57" spans="1:18" x14ac:dyDescent="0.3">
      <c r="A57" s="1">
        <v>41</v>
      </c>
      <c r="B57" s="3">
        <v>2</v>
      </c>
      <c r="C57" s="3">
        <v>3</v>
      </c>
      <c r="D57" s="1" t="s">
        <v>17</v>
      </c>
      <c r="E57" s="1" t="s">
        <v>41</v>
      </c>
      <c r="F57" s="1" t="s">
        <v>74</v>
      </c>
      <c r="G57" s="1" t="s">
        <v>106</v>
      </c>
      <c r="H57" s="1" t="s">
        <v>140</v>
      </c>
      <c r="I57" s="1" t="s">
        <v>152</v>
      </c>
      <c r="J57" s="1" t="s">
        <v>126</v>
      </c>
      <c r="K57" s="1">
        <v>15000</v>
      </c>
      <c r="L57" s="1">
        <v>11000</v>
      </c>
      <c r="M57" t="str">
        <f t="shared" si="0"/>
        <v>KKKNT</v>
      </c>
      <c r="N57" s="1">
        <v>165000000</v>
      </c>
      <c r="O57" s="1" t="s">
        <v>137</v>
      </c>
      <c r="P57">
        <v>0</v>
      </c>
      <c r="Q57" s="1">
        <v>165000000</v>
      </c>
      <c r="R57" s="1" t="s">
        <v>189</v>
      </c>
    </row>
    <row r="58" spans="1:18" x14ac:dyDescent="0.3">
      <c r="A58" s="1">
        <v>41</v>
      </c>
      <c r="B58" s="3">
        <v>2</v>
      </c>
      <c r="C58" s="3">
        <v>3</v>
      </c>
      <c r="D58" s="1" t="s">
        <v>17</v>
      </c>
      <c r="E58" s="1" t="s">
        <v>41</v>
      </c>
      <c r="F58" s="1" t="s">
        <v>74</v>
      </c>
      <c r="G58" s="1" t="s">
        <v>106</v>
      </c>
      <c r="H58" s="1" t="s">
        <v>140</v>
      </c>
      <c r="I58" s="1" t="s">
        <v>152</v>
      </c>
      <c r="J58" s="1" t="s">
        <v>129</v>
      </c>
      <c r="K58" s="1">
        <v>1300</v>
      </c>
      <c r="L58" s="1">
        <v>18500</v>
      </c>
      <c r="M58" t="str">
        <f t="shared" si="0"/>
        <v>KKKNT</v>
      </c>
      <c r="N58" s="1">
        <v>24050000</v>
      </c>
      <c r="O58" s="1" t="s">
        <v>137</v>
      </c>
      <c r="P58">
        <v>0</v>
      </c>
      <c r="Q58" s="1">
        <v>24050000</v>
      </c>
      <c r="R58" s="1" t="s">
        <v>189</v>
      </c>
    </row>
    <row r="59" spans="1:18" x14ac:dyDescent="0.3">
      <c r="A59" s="1">
        <v>42</v>
      </c>
      <c r="B59" s="3">
        <v>9</v>
      </c>
      <c r="C59" s="3">
        <v>3</v>
      </c>
      <c r="D59" s="1" t="s">
        <v>17</v>
      </c>
      <c r="E59" s="1" t="s">
        <v>49</v>
      </c>
      <c r="F59" s="1" t="s">
        <v>82</v>
      </c>
      <c r="G59" s="1" t="s">
        <v>113</v>
      </c>
      <c r="H59" s="1" t="s">
        <v>24</v>
      </c>
      <c r="I59" s="1" t="s">
        <v>49</v>
      </c>
      <c r="J59" s="1" t="s">
        <v>123</v>
      </c>
      <c r="K59" s="1">
        <v>2000</v>
      </c>
      <c r="L59" s="1">
        <v>11000</v>
      </c>
      <c r="M59" t="str">
        <f t="shared" si="0"/>
        <v>chịu thuế GTGT 5%</v>
      </c>
      <c r="N59" s="1">
        <v>22000000</v>
      </c>
      <c r="O59" s="1" t="s">
        <v>22</v>
      </c>
      <c r="P59">
        <v>1100000</v>
      </c>
      <c r="Q59" s="1">
        <v>23100000</v>
      </c>
      <c r="R59" s="1" t="s">
        <v>171</v>
      </c>
    </row>
    <row r="60" spans="1:18" x14ac:dyDescent="0.3">
      <c r="A60" s="1">
        <v>42</v>
      </c>
      <c r="B60" s="3">
        <v>9</v>
      </c>
      <c r="C60" s="3">
        <v>3</v>
      </c>
      <c r="D60" s="1" t="s">
        <v>17</v>
      </c>
      <c r="E60" s="1" t="s">
        <v>49</v>
      </c>
      <c r="F60" s="1" t="s">
        <v>82</v>
      </c>
      <c r="G60" s="1" t="s">
        <v>113</v>
      </c>
      <c r="H60" s="1" t="s">
        <v>24</v>
      </c>
      <c r="I60" s="1" t="s">
        <v>49</v>
      </c>
      <c r="J60" s="1" t="s">
        <v>124</v>
      </c>
      <c r="K60" s="1">
        <v>500</v>
      </c>
      <c r="L60" s="1">
        <v>22000</v>
      </c>
      <c r="M60" t="str">
        <f t="shared" si="0"/>
        <v>chịu thuế GTGT 5%</v>
      </c>
      <c r="N60" s="1">
        <v>11000000</v>
      </c>
      <c r="O60" s="1" t="s">
        <v>22</v>
      </c>
      <c r="P60">
        <v>550000</v>
      </c>
      <c r="Q60" s="1">
        <v>11550000</v>
      </c>
      <c r="R60" s="1" t="s">
        <v>171</v>
      </c>
    </row>
    <row r="61" spans="1:18" x14ac:dyDescent="0.3">
      <c r="A61" s="1">
        <v>43</v>
      </c>
      <c r="B61" s="3">
        <v>12</v>
      </c>
      <c r="C61" s="3">
        <v>3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24</v>
      </c>
      <c r="I61" s="1" t="s">
        <v>23</v>
      </c>
      <c r="J61" s="1" t="s">
        <v>126</v>
      </c>
      <c r="K61" s="1">
        <v>2800</v>
      </c>
      <c r="L61" s="1">
        <v>11000</v>
      </c>
      <c r="M61" t="str">
        <f t="shared" si="0"/>
        <v>chịu thuế GTGT 5%</v>
      </c>
      <c r="N61" s="1">
        <v>30800000</v>
      </c>
      <c r="O61" s="1" t="s">
        <v>22</v>
      </c>
      <c r="P61">
        <v>1540000</v>
      </c>
      <c r="Q61" s="1">
        <v>32340000</v>
      </c>
      <c r="R61" s="1" t="s">
        <v>174</v>
      </c>
    </row>
    <row r="62" spans="1:18" x14ac:dyDescent="0.3">
      <c r="A62" s="1">
        <v>43</v>
      </c>
      <c r="B62" s="3">
        <v>12</v>
      </c>
      <c r="C62" s="3">
        <v>3</v>
      </c>
      <c r="D62" s="1" t="s">
        <v>17</v>
      </c>
      <c r="E62" s="1" t="s">
        <v>18</v>
      </c>
      <c r="F62" s="1" t="s">
        <v>19</v>
      </c>
      <c r="G62" s="1" t="s">
        <v>20</v>
      </c>
      <c r="H62" s="1" t="s">
        <v>24</v>
      </c>
      <c r="I62" s="1" t="s">
        <v>23</v>
      </c>
      <c r="J62" s="1" t="s">
        <v>124</v>
      </c>
      <c r="K62" s="1">
        <v>200</v>
      </c>
      <c r="L62" s="1">
        <v>25000</v>
      </c>
      <c r="M62" t="str">
        <f t="shared" si="0"/>
        <v>chịu thuế GTGT 5%</v>
      </c>
      <c r="N62" s="1">
        <v>5000000</v>
      </c>
      <c r="O62" s="1" t="s">
        <v>22</v>
      </c>
      <c r="P62">
        <v>250000</v>
      </c>
      <c r="Q62" s="1">
        <v>5250000</v>
      </c>
      <c r="R62" s="1" t="s">
        <v>174</v>
      </c>
    </row>
    <row r="63" spans="1:18" x14ac:dyDescent="0.3">
      <c r="A63" s="1">
        <v>44</v>
      </c>
      <c r="B63" s="3">
        <v>12</v>
      </c>
      <c r="C63" s="3">
        <v>3</v>
      </c>
      <c r="D63" s="1" t="s">
        <v>17</v>
      </c>
      <c r="E63" s="1" t="s">
        <v>50</v>
      </c>
      <c r="F63" s="1" t="s">
        <v>83</v>
      </c>
      <c r="G63" s="1" t="s">
        <v>114</v>
      </c>
      <c r="H63" s="1" t="s">
        <v>24</v>
      </c>
      <c r="I63" s="1" t="s">
        <v>164</v>
      </c>
      <c r="J63" s="1" t="s">
        <v>130</v>
      </c>
      <c r="K63" s="1">
        <v>1000</v>
      </c>
      <c r="L63" s="1">
        <v>9700</v>
      </c>
      <c r="M63" t="str">
        <f t="shared" si="0"/>
        <v>chịu thuế GTGT 5%</v>
      </c>
      <c r="N63" s="1">
        <v>9700000</v>
      </c>
      <c r="O63" s="1" t="s">
        <v>22</v>
      </c>
      <c r="P63">
        <v>485000</v>
      </c>
      <c r="Q63" s="1">
        <v>10185000</v>
      </c>
      <c r="R63" s="1" t="s">
        <v>175</v>
      </c>
    </row>
    <row r="64" spans="1:18" x14ac:dyDescent="0.3">
      <c r="A64" s="1">
        <v>45</v>
      </c>
      <c r="B64" s="3">
        <v>16</v>
      </c>
      <c r="C64" s="3">
        <v>3</v>
      </c>
      <c r="D64" s="1" t="s">
        <v>17</v>
      </c>
      <c r="E64" s="1" t="s">
        <v>40</v>
      </c>
      <c r="F64" s="1" t="s">
        <v>73</v>
      </c>
      <c r="G64" s="1" t="s">
        <v>105</v>
      </c>
      <c r="H64" s="1" t="s">
        <v>140</v>
      </c>
      <c r="I64" s="1" t="s">
        <v>153</v>
      </c>
      <c r="J64" s="1" t="s">
        <v>128</v>
      </c>
      <c r="K64" s="1">
        <v>500</v>
      </c>
      <c r="L64" s="1">
        <v>14000</v>
      </c>
      <c r="M64" t="str">
        <f t="shared" si="0"/>
        <v>chịu thuế GTGT 5%</v>
      </c>
      <c r="N64" s="1">
        <v>7000000</v>
      </c>
      <c r="O64" s="1" t="s">
        <v>138</v>
      </c>
      <c r="P64">
        <v>0</v>
      </c>
      <c r="Q64" s="1">
        <v>7000000</v>
      </c>
      <c r="R64" s="1" t="s">
        <v>192</v>
      </c>
    </row>
    <row r="65" spans="1:18" x14ac:dyDescent="0.3">
      <c r="A65" s="1">
        <v>46</v>
      </c>
      <c r="B65" s="3">
        <v>18</v>
      </c>
      <c r="C65" s="3">
        <v>3</v>
      </c>
      <c r="D65" s="1" t="s">
        <v>17</v>
      </c>
      <c r="E65" s="1" t="s">
        <v>26</v>
      </c>
      <c r="F65" s="1" t="s">
        <v>84</v>
      </c>
      <c r="G65" s="1" t="s">
        <v>91</v>
      </c>
      <c r="H65" s="1" t="s">
        <v>24</v>
      </c>
      <c r="I65" s="1" t="s">
        <v>166</v>
      </c>
      <c r="J65" s="1" t="s">
        <v>123</v>
      </c>
      <c r="K65" s="1">
        <v>1800</v>
      </c>
      <c r="L65" s="1">
        <v>11000</v>
      </c>
      <c r="M65" t="str">
        <f t="shared" si="0"/>
        <v>chịu thuế GTGT 5%</v>
      </c>
      <c r="N65" s="1">
        <v>19800000</v>
      </c>
      <c r="O65" s="1" t="s">
        <v>22</v>
      </c>
      <c r="P65">
        <v>990000</v>
      </c>
      <c r="Q65" s="1">
        <v>20790000</v>
      </c>
      <c r="R65" s="1" t="s">
        <v>173</v>
      </c>
    </row>
    <row r="66" spans="1:18" x14ac:dyDescent="0.3">
      <c r="A66" s="1">
        <v>47</v>
      </c>
      <c r="B66" s="3">
        <v>18</v>
      </c>
      <c r="C66" s="3">
        <v>3</v>
      </c>
      <c r="D66" s="1" t="s">
        <v>17</v>
      </c>
      <c r="E66" s="1" t="s">
        <v>25</v>
      </c>
      <c r="F66" s="1" t="s">
        <v>58</v>
      </c>
      <c r="G66" s="1" t="s">
        <v>90</v>
      </c>
      <c r="H66" s="1" t="s">
        <v>140</v>
      </c>
      <c r="I66" s="1" t="s">
        <v>163</v>
      </c>
      <c r="J66" s="1" t="s">
        <v>123</v>
      </c>
      <c r="K66" s="1">
        <v>569</v>
      </c>
      <c r="L66" s="1">
        <v>11000</v>
      </c>
      <c r="M66" t="str">
        <f t="shared" si="0"/>
        <v>KKKNT</v>
      </c>
      <c r="N66" s="1">
        <v>6259000</v>
      </c>
      <c r="O66" s="1" t="s">
        <v>137</v>
      </c>
      <c r="P66">
        <v>0</v>
      </c>
      <c r="Q66" s="1">
        <v>6259000</v>
      </c>
      <c r="R66" s="1" t="s">
        <v>183</v>
      </c>
    </row>
    <row r="67" spans="1:18" x14ac:dyDescent="0.3">
      <c r="A67" s="1">
        <v>48</v>
      </c>
      <c r="B67" s="3">
        <v>18</v>
      </c>
      <c r="C67" s="3">
        <v>3</v>
      </c>
      <c r="D67" s="1" t="s">
        <v>17</v>
      </c>
      <c r="E67" s="1" t="s">
        <v>25</v>
      </c>
      <c r="F67" s="1" t="s">
        <v>58</v>
      </c>
      <c r="G67" s="1" t="s">
        <v>90</v>
      </c>
      <c r="H67" s="1" t="s">
        <v>140</v>
      </c>
      <c r="I67" s="1" t="s">
        <v>163</v>
      </c>
      <c r="J67" s="1" t="s">
        <v>123</v>
      </c>
      <c r="K67" s="1">
        <v>307</v>
      </c>
      <c r="L67" s="1">
        <v>11000</v>
      </c>
      <c r="M67" t="str">
        <f t="shared" ref="M67:M112" si="1">IF(O67="","",IF(O67="KKKNT","KKKNT","chịu thuế GTGT 5%"))</f>
        <v>KKKNT</v>
      </c>
      <c r="N67" s="1">
        <v>3377000</v>
      </c>
      <c r="O67" s="1" t="s">
        <v>137</v>
      </c>
      <c r="P67">
        <v>0</v>
      </c>
      <c r="Q67" s="1">
        <v>3377000</v>
      </c>
      <c r="R67" s="1" t="s">
        <v>183</v>
      </c>
    </row>
    <row r="68" spans="1:18" x14ac:dyDescent="0.3">
      <c r="A68" s="1">
        <v>49</v>
      </c>
      <c r="B68" s="3">
        <v>18</v>
      </c>
      <c r="C68" s="3">
        <v>3</v>
      </c>
      <c r="D68" s="1" t="s">
        <v>17</v>
      </c>
      <c r="E68" s="1" t="s">
        <v>51</v>
      </c>
      <c r="F68" s="1" t="s">
        <v>85</v>
      </c>
      <c r="G68" s="1" t="s">
        <v>115</v>
      </c>
      <c r="H68" s="1" t="s">
        <v>140</v>
      </c>
      <c r="I68" s="1" t="s">
        <v>148</v>
      </c>
      <c r="J68" s="1" t="s">
        <v>123</v>
      </c>
      <c r="K68" s="1">
        <v>436</v>
      </c>
      <c r="L68" s="1">
        <v>11000</v>
      </c>
      <c r="M68" t="str">
        <f t="shared" si="1"/>
        <v>KKKNT</v>
      </c>
      <c r="N68" s="1">
        <v>4796000</v>
      </c>
      <c r="O68" s="1" t="s">
        <v>137</v>
      </c>
      <c r="P68">
        <v>0</v>
      </c>
      <c r="Q68" s="1">
        <v>4796000</v>
      </c>
      <c r="R68" s="1" t="s">
        <v>184</v>
      </c>
    </row>
    <row r="69" spans="1:18" x14ac:dyDescent="0.3">
      <c r="A69" s="1">
        <v>50</v>
      </c>
      <c r="B69" s="3">
        <v>20</v>
      </c>
      <c r="C69" s="3">
        <v>3</v>
      </c>
      <c r="D69" s="1" t="s">
        <v>17</v>
      </c>
      <c r="E69" s="1" t="s">
        <v>47</v>
      </c>
      <c r="F69" s="1" t="s">
        <v>80</v>
      </c>
      <c r="G69" s="1" t="s">
        <v>99</v>
      </c>
      <c r="H69" s="1" t="s">
        <v>24</v>
      </c>
      <c r="I69" s="1" t="s">
        <v>34</v>
      </c>
      <c r="J69" s="1" t="s">
        <v>21</v>
      </c>
      <c r="K69" s="1">
        <v>600</v>
      </c>
      <c r="L69" s="1">
        <v>9700</v>
      </c>
      <c r="M69" t="str">
        <f t="shared" si="1"/>
        <v>chịu thuế GTGT 5%</v>
      </c>
      <c r="N69" s="1">
        <v>5820000</v>
      </c>
      <c r="O69" s="1" t="s">
        <v>22</v>
      </c>
      <c r="P69">
        <v>291000</v>
      </c>
      <c r="Q69" s="1">
        <v>6111000</v>
      </c>
      <c r="R69" s="1" t="s">
        <v>176</v>
      </c>
    </row>
    <row r="70" spans="1:18" x14ac:dyDescent="0.3">
      <c r="A70" s="1">
        <v>50</v>
      </c>
      <c r="B70" s="3">
        <v>20</v>
      </c>
      <c r="C70" s="3">
        <v>3</v>
      </c>
      <c r="D70" s="1" t="s">
        <v>17</v>
      </c>
      <c r="E70" s="1" t="s">
        <v>47</v>
      </c>
      <c r="F70" s="1" t="s">
        <v>80</v>
      </c>
      <c r="G70" s="1" t="s">
        <v>99</v>
      </c>
      <c r="H70" s="1" t="s">
        <v>24</v>
      </c>
      <c r="I70" s="1" t="s">
        <v>34</v>
      </c>
      <c r="J70" s="1" t="s">
        <v>124</v>
      </c>
      <c r="K70" s="1">
        <v>450</v>
      </c>
      <c r="L70" s="1">
        <v>22000</v>
      </c>
      <c r="M70" t="str">
        <f t="shared" si="1"/>
        <v>chịu thuế GTGT 5%</v>
      </c>
      <c r="N70" s="1">
        <v>9900000</v>
      </c>
      <c r="O70" s="1" t="s">
        <v>22</v>
      </c>
      <c r="P70">
        <v>495000</v>
      </c>
      <c r="Q70" s="1">
        <v>10395000</v>
      </c>
      <c r="R70" s="1" t="s">
        <v>176</v>
      </c>
    </row>
    <row r="71" spans="1:18" x14ac:dyDescent="0.3">
      <c r="A71" s="1">
        <v>50</v>
      </c>
      <c r="B71" s="3">
        <v>20</v>
      </c>
      <c r="C71" s="3">
        <v>3</v>
      </c>
      <c r="D71" s="1" t="s">
        <v>17</v>
      </c>
      <c r="E71" s="1" t="s">
        <v>47</v>
      </c>
      <c r="F71" s="1" t="s">
        <v>80</v>
      </c>
      <c r="G71" s="1" t="s">
        <v>99</v>
      </c>
      <c r="H71" s="1" t="s">
        <v>24</v>
      </c>
      <c r="I71" s="1" t="s">
        <v>34</v>
      </c>
      <c r="J71" s="1" t="s">
        <v>123</v>
      </c>
      <c r="K71" s="1">
        <v>700</v>
      </c>
      <c r="L71" s="1">
        <v>11000</v>
      </c>
      <c r="M71" t="str">
        <f t="shared" si="1"/>
        <v>chịu thuế GTGT 5%</v>
      </c>
      <c r="N71" s="1">
        <v>7700000</v>
      </c>
      <c r="O71" s="1" t="s">
        <v>22</v>
      </c>
      <c r="P71">
        <v>385000</v>
      </c>
      <c r="Q71" s="1">
        <v>8085000</v>
      </c>
      <c r="R71" s="1" t="s">
        <v>176</v>
      </c>
    </row>
    <row r="72" spans="1:18" x14ac:dyDescent="0.3">
      <c r="A72" s="1">
        <v>51</v>
      </c>
      <c r="B72" s="3">
        <v>27</v>
      </c>
      <c r="C72" s="3">
        <v>3</v>
      </c>
      <c r="D72" s="1" t="s">
        <v>17</v>
      </c>
      <c r="E72" s="1" t="s">
        <v>39</v>
      </c>
      <c r="F72" s="1" t="s">
        <v>72</v>
      </c>
      <c r="G72" s="1" t="s">
        <v>104</v>
      </c>
      <c r="H72" s="1" t="s">
        <v>140</v>
      </c>
      <c r="I72" s="1" t="s">
        <v>142</v>
      </c>
      <c r="J72" s="1" t="s">
        <v>131</v>
      </c>
      <c r="K72" s="1">
        <v>600</v>
      </c>
      <c r="L72" s="1">
        <v>13500</v>
      </c>
      <c r="M72" t="str">
        <f t="shared" si="1"/>
        <v>KKKNT</v>
      </c>
      <c r="N72" s="1">
        <v>8100000</v>
      </c>
      <c r="O72" s="1" t="s">
        <v>137</v>
      </c>
      <c r="P72">
        <v>0</v>
      </c>
      <c r="Q72" s="1">
        <v>8100000</v>
      </c>
      <c r="R72" s="1" t="s">
        <v>182</v>
      </c>
    </row>
    <row r="73" spans="1:18" x14ac:dyDescent="0.3">
      <c r="A73" s="1">
        <v>52</v>
      </c>
      <c r="B73" s="3">
        <v>28</v>
      </c>
      <c r="C73" s="3">
        <v>3</v>
      </c>
      <c r="D73" s="1" t="s">
        <v>17</v>
      </c>
      <c r="E73" s="1" t="s">
        <v>35</v>
      </c>
      <c r="F73" s="1" t="s">
        <v>68</v>
      </c>
      <c r="G73" s="1" t="s">
        <v>100</v>
      </c>
      <c r="H73" s="1" t="s">
        <v>24</v>
      </c>
      <c r="I73" s="1" t="s">
        <v>149</v>
      </c>
      <c r="J73" s="1" t="s">
        <v>21</v>
      </c>
      <c r="K73" s="1">
        <v>3610</v>
      </c>
      <c r="L73" s="1">
        <v>9700</v>
      </c>
      <c r="M73" t="str">
        <f t="shared" si="1"/>
        <v>KKKNT</v>
      </c>
      <c r="N73" s="1">
        <v>35017000</v>
      </c>
      <c r="O73" s="1" t="s">
        <v>137</v>
      </c>
      <c r="P73">
        <v>0</v>
      </c>
      <c r="Q73" s="1">
        <v>35017000</v>
      </c>
      <c r="R73" s="1" t="s">
        <v>179</v>
      </c>
    </row>
    <row r="74" spans="1:18" x14ac:dyDescent="0.3">
      <c r="A74" s="1">
        <v>53</v>
      </c>
      <c r="B74" s="3">
        <v>30</v>
      </c>
      <c r="C74" s="3">
        <v>3</v>
      </c>
      <c r="D74" s="1" t="s">
        <v>17</v>
      </c>
      <c r="E74" s="1" t="s">
        <v>52</v>
      </c>
      <c r="F74" s="1" t="s">
        <v>86</v>
      </c>
      <c r="G74" s="1" t="s">
        <v>116</v>
      </c>
      <c r="H74" s="1" t="s">
        <v>24</v>
      </c>
      <c r="I74" s="1" t="s">
        <v>160</v>
      </c>
      <c r="J74" s="1" t="s">
        <v>21</v>
      </c>
      <c r="K74" s="1">
        <v>1500</v>
      </c>
      <c r="L74" s="1">
        <v>9700</v>
      </c>
      <c r="M74" t="str">
        <f t="shared" si="1"/>
        <v>KKKNT</v>
      </c>
      <c r="N74" s="1">
        <v>14550000</v>
      </c>
      <c r="O74" s="1" t="s">
        <v>137</v>
      </c>
      <c r="P74">
        <v>0</v>
      </c>
      <c r="Q74" s="1">
        <v>14550000</v>
      </c>
      <c r="R74" s="1" t="s">
        <v>178</v>
      </c>
    </row>
    <row r="75" spans="1:18" x14ac:dyDescent="0.3">
      <c r="A75" s="1">
        <v>54</v>
      </c>
      <c r="B75" s="3">
        <v>30</v>
      </c>
      <c r="C75" s="3">
        <v>3</v>
      </c>
      <c r="D75" s="1" t="s">
        <v>17</v>
      </c>
      <c r="E75" s="1" t="s">
        <v>52</v>
      </c>
      <c r="F75" s="1" t="s">
        <v>86</v>
      </c>
      <c r="G75" s="1" t="s">
        <v>116</v>
      </c>
      <c r="H75" s="1" t="s">
        <v>24</v>
      </c>
      <c r="I75" s="1" t="s">
        <v>160</v>
      </c>
      <c r="J75" s="1" t="s">
        <v>21</v>
      </c>
      <c r="K75" s="1">
        <v>1600</v>
      </c>
      <c r="L75" s="1">
        <v>9700</v>
      </c>
      <c r="M75" t="str">
        <f t="shared" si="1"/>
        <v>KKKNT</v>
      </c>
      <c r="N75" s="1">
        <v>15520000</v>
      </c>
      <c r="O75" s="1" t="s">
        <v>137</v>
      </c>
      <c r="P75">
        <v>0</v>
      </c>
      <c r="Q75" s="1">
        <v>15520000</v>
      </c>
      <c r="R75" s="1" t="s">
        <v>178</v>
      </c>
    </row>
    <row r="76" spans="1:18" x14ac:dyDescent="0.3">
      <c r="A76" s="1">
        <v>55</v>
      </c>
      <c r="B76" s="3">
        <v>8</v>
      </c>
      <c r="C76" s="3">
        <v>4</v>
      </c>
      <c r="D76" s="1" t="s">
        <v>17</v>
      </c>
      <c r="E76" s="1" t="s">
        <v>18</v>
      </c>
      <c r="F76" s="1" t="s">
        <v>19</v>
      </c>
      <c r="G76" s="1" t="s">
        <v>20</v>
      </c>
      <c r="H76" s="1" t="s">
        <v>24</v>
      </c>
      <c r="I76" s="1" t="s">
        <v>23</v>
      </c>
      <c r="J76" s="1" t="s">
        <v>21</v>
      </c>
      <c r="K76" s="1">
        <v>2000</v>
      </c>
      <c r="L76" s="1">
        <v>9600</v>
      </c>
      <c r="M76" t="str">
        <f t="shared" si="1"/>
        <v>chịu thuế GTGT 5%</v>
      </c>
      <c r="N76" s="1">
        <v>19200000</v>
      </c>
      <c r="O76" s="1" t="s">
        <v>22</v>
      </c>
      <c r="P76">
        <v>960000</v>
      </c>
      <c r="Q76" s="1">
        <v>20160000</v>
      </c>
      <c r="R76" s="1" t="s">
        <v>174</v>
      </c>
    </row>
    <row r="77" spans="1:18" x14ac:dyDescent="0.3">
      <c r="A77" s="1">
        <v>55</v>
      </c>
      <c r="B77" s="3">
        <v>8</v>
      </c>
      <c r="C77" s="3">
        <v>4</v>
      </c>
      <c r="D77" s="1" t="s">
        <v>17</v>
      </c>
      <c r="E77" s="1" t="s">
        <v>18</v>
      </c>
      <c r="F77" s="1" t="s">
        <v>19</v>
      </c>
      <c r="G77" s="1" t="s">
        <v>20</v>
      </c>
      <c r="H77" s="1" t="s">
        <v>24</v>
      </c>
      <c r="I77" s="1" t="s">
        <v>23</v>
      </c>
      <c r="J77" s="1" t="s">
        <v>124</v>
      </c>
      <c r="K77" s="1">
        <v>500</v>
      </c>
      <c r="L77" s="1">
        <v>25000</v>
      </c>
      <c r="M77" t="str">
        <f t="shared" si="1"/>
        <v>chịu thuế GTGT 5%</v>
      </c>
      <c r="N77" s="1">
        <v>12500000</v>
      </c>
      <c r="O77" s="1" t="s">
        <v>22</v>
      </c>
      <c r="P77">
        <v>625000</v>
      </c>
      <c r="Q77" s="1">
        <v>13125000</v>
      </c>
      <c r="R77" s="1" t="s">
        <v>174</v>
      </c>
    </row>
    <row r="78" spans="1:18" x14ac:dyDescent="0.3">
      <c r="A78" s="1">
        <v>56</v>
      </c>
      <c r="B78" s="3">
        <v>13</v>
      </c>
      <c r="C78" s="3">
        <v>4</v>
      </c>
      <c r="D78" s="1" t="s">
        <v>17</v>
      </c>
      <c r="E78" s="1" t="s">
        <v>49</v>
      </c>
      <c r="F78" s="1" t="s">
        <v>82</v>
      </c>
      <c r="G78" s="1" t="s">
        <v>113</v>
      </c>
      <c r="H78" s="1" t="s">
        <v>24</v>
      </c>
      <c r="I78" s="1" t="s">
        <v>49</v>
      </c>
      <c r="J78" s="1" t="s">
        <v>21</v>
      </c>
      <c r="K78" s="1">
        <v>2000</v>
      </c>
      <c r="L78" s="1">
        <v>9700</v>
      </c>
      <c r="M78" t="str">
        <f t="shared" si="1"/>
        <v>chịu thuế GTGT 5%</v>
      </c>
      <c r="N78" s="1">
        <v>19400000</v>
      </c>
      <c r="O78" s="1" t="s">
        <v>22</v>
      </c>
      <c r="P78">
        <v>970000</v>
      </c>
      <c r="Q78" s="1">
        <v>20370000</v>
      </c>
      <c r="R78" s="1" t="s">
        <v>171</v>
      </c>
    </row>
    <row r="79" spans="1:18" x14ac:dyDescent="0.3">
      <c r="A79" s="1">
        <v>56</v>
      </c>
      <c r="B79" s="3">
        <v>13</v>
      </c>
      <c r="C79" s="3">
        <v>4</v>
      </c>
      <c r="D79" s="1" t="s">
        <v>17</v>
      </c>
      <c r="E79" s="1" t="s">
        <v>49</v>
      </c>
      <c r="F79" s="1" t="s">
        <v>82</v>
      </c>
      <c r="G79" s="1" t="s">
        <v>113</v>
      </c>
      <c r="H79" s="1" t="s">
        <v>24</v>
      </c>
      <c r="I79" s="1" t="s">
        <v>49</v>
      </c>
      <c r="J79" s="1" t="s">
        <v>124</v>
      </c>
      <c r="K79" s="1">
        <v>500</v>
      </c>
      <c r="L79" s="1">
        <v>22000</v>
      </c>
      <c r="M79" t="str">
        <f t="shared" si="1"/>
        <v>chịu thuế GTGT 5%</v>
      </c>
      <c r="N79" s="1">
        <v>11000000</v>
      </c>
      <c r="O79" s="1" t="s">
        <v>22</v>
      </c>
      <c r="P79">
        <v>550000</v>
      </c>
      <c r="Q79" s="1">
        <v>11550000</v>
      </c>
      <c r="R79" s="1" t="s">
        <v>171</v>
      </c>
    </row>
    <row r="80" spans="1:18" x14ac:dyDescent="0.3">
      <c r="A80" s="1">
        <v>57</v>
      </c>
      <c r="B80" s="3">
        <v>14</v>
      </c>
      <c r="C80" s="3">
        <v>4</v>
      </c>
      <c r="D80" s="1" t="s">
        <v>17</v>
      </c>
      <c r="E80" s="1" t="s">
        <v>47</v>
      </c>
      <c r="F80" s="1" t="s">
        <v>80</v>
      </c>
      <c r="G80" s="1" t="s">
        <v>99</v>
      </c>
      <c r="H80" s="1" t="s">
        <v>24</v>
      </c>
      <c r="I80" s="1" t="s">
        <v>34</v>
      </c>
      <c r="J80" s="1" t="s">
        <v>21</v>
      </c>
      <c r="K80" s="1">
        <v>500</v>
      </c>
      <c r="L80" s="1">
        <v>9700</v>
      </c>
      <c r="M80" t="str">
        <f t="shared" si="1"/>
        <v>chịu thuế GTGT 5%</v>
      </c>
      <c r="N80" s="1">
        <v>4850000</v>
      </c>
      <c r="O80" s="1" t="s">
        <v>22</v>
      </c>
      <c r="P80">
        <v>242500</v>
      </c>
      <c r="Q80" s="1">
        <v>5092500</v>
      </c>
      <c r="R80" s="1" t="s">
        <v>176</v>
      </c>
    </row>
    <row r="81" spans="1:18" x14ac:dyDescent="0.3">
      <c r="A81" s="1">
        <v>57</v>
      </c>
      <c r="B81" s="3">
        <v>14</v>
      </c>
      <c r="C81" s="3">
        <v>4</v>
      </c>
      <c r="D81" s="1" t="s">
        <v>17</v>
      </c>
      <c r="E81" s="1" t="s">
        <v>47</v>
      </c>
      <c r="F81" s="1" t="s">
        <v>80</v>
      </c>
      <c r="G81" s="1" t="s">
        <v>99</v>
      </c>
      <c r="H81" s="1" t="s">
        <v>24</v>
      </c>
      <c r="I81" s="1" t="s">
        <v>34</v>
      </c>
      <c r="J81" s="1" t="s">
        <v>132</v>
      </c>
      <c r="K81" s="1">
        <v>300</v>
      </c>
      <c r="L81" s="1">
        <v>22000</v>
      </c>
      <c r="M81" t="str">
        <f t="shared" si="1"/>
        <v>chịu thuế GTGT 5%</v>
      </c>
      <c r="N81" s="1">
        <v>6600000</v>
      </c>
      <c r="O81" s="1" t="s">
        <v>22</v>
      </c>
      <c r="P81">
        <v>330000</v>
      </c>
      <c r="Q81" s="1">
        <v>6930000</v>
      </c>
      <c r="R81" s="1" t="s">
        <v>176</v>
      </c>
    </row>
    <row r="82" spans="1:18" x14ac:dyDescent="0.3">
      <c r="A82" s="1">
        <v>57</v>
      </c>
      <c r="B82" s="3">
        <v>14</v>
      </c>
      <c r="C82" s="3">
        <v>4</v>
      </c>
      <c r="D82" s="1" t="s">
        <v>17</v>
      </c>
      <c r="E82" s="1" t="s">
        <v>47</v>
      </c>
      <c r="F82" s="1" t="s">
        <v>80</v>
      </c>
      <c r="G82" s="1" t="s">
        <v>99</v>
      </c>
      <c r="H82" s="1" t="s">
        <v>24</v>
      </c>
      <c r="I82" s="1" t="s">
        <v>34</v>
      </c>
      <c r="J82" s="1" t="s">
        <v>123</v>
      </c>
      <c r="K82" s="1">
        <v>500</v>
      </c>
      <c r="L82" s="1">
        <v>11000</v>
      </c>
      <c r="M82" t="str">
        <f t="shared" si="1"/>
        <v>chịu thuế GTGT 5%</v>
      </c>
      <c r="N82" s="1">
        <v>5500000</v>
      </c>
      <c r="O82" s="1" t="s">
        <v>22</v>
      </c>
      <c r="P82">
        <v>275000</v>
      </c>
      <c r="Q82" s="1">
        <v>5775000</v>
      </c>
      <c r="R82" s="1" t="s">
        <v>176</v>
      </c>
    </row>
    <row r="83" spans="1:18" x14ac:dyDescent="0.3">
      <c r="A83" s="1">
        <v>57</v>
      </c>
      <c r="B83" s="3">
        <v>14</v>
      </c>
      <c r="C83" s="3">
        <v>4</v>
      </c>
      <c r="D83" s="1" t="s">
        <v>17</v>
      </c>
      <c r="E83" s="1" t="s">
        <v>47</v>
      </c>
      <c r="F83" s="1" t="s">
        <v>80</v>
      </c>
      <c r="G83" s="1" t="s">
        <v>99</v>
      </c>
      <c r="H83" s="1" t="s">
        <v>24</v>
      </c>
      <c r="I83" s="1" t="s">
        <v>34</v>
      </c>
      <c r="J83" s="1" t="s">
        <v>133</v>
      </c>
      <c r="K83" s="1">
        <v>500</v>
      </c>
      <c r="L83" s="1">
        <v>13500</v>
      </c>
      <c r="M83" t="str">
        <f t="shared" si="1"/>
        <v>chịu thuế GTGT 5%</v>
      </c>
      <c r="N83" s="1">
        <v>6750000</v>
      </c>
      <c r="O83" s="1" t="s">
        <v>22</v>
      </c>
      <c r="P83">
        <v>337500</v>
      </c>
      <c r="Q83" s="1">
        <v>7087500</v>
      </c>
      <c r="R83" s="1" t="s">
        <v>176</v>
      </c>
    </row>
    <row r="84" spans="1:18" x14ac:dyDescent="0.3">
      <c r="A84" s="1">
        <v>58</v>
      </c>
      <c r="B84" s="3">
        <v>16</v>
      </c>
      <c r="C84" s="3">
        <v>4</v>
      </c>
      <c r="D84" s="1" t="s">
        <v>17</v>
      </c>
      <c r="E84" s="1" t="s">
        <v>53</v>
      </c>
      <c r="F84" s="1" t="s">
        <v>87</v>
      </c>
      <c r="G84" s="1" t="s">
        <v>117</v>
      </c>
      <c r="H84" s="1" t="s">
        <v>140</v>
      </c>
      <c r="I84" s="1" t="s">
        <v>151</v>
      </c>
      <c r="J84" s="1" t="s">
        <v>21</v>
      </c>
      <c r="K84" s="1">
        <v>10000</v>
      </c>
      <c r="L84" s="1">
        <v>9700</v>
      </c>
      <c r="M84" t="str">
        <f t="shared" si="1"/>
        <v>KKKNT</v>
      </c>
      <c r="N84" s="1">
        <v>97000000</v>
      </c>
      <c r="O84" s="1" t="s">
        <v>137</v>
      </c>
      <c r="P84">
        <v>0</v>
      </c>
      <c r="Q84" s="1">
        <v>97000000</v>
      </c>
      <c r="R84" s="1" t="s">
        <v>194</v>
      </c>
    </row>
    <row r="85" spans="1:18" x14ac:dyDescent="0.3">
      <c r="A85" s="1">
        <v>59</v>
      </c>
      <c r="B85" s="3">
        <v>24</v>
      </c>
      <c r="C85" s="3">
        <v>4</v>
      </c>
      <c r="D85" s="1" t="s">
        <v>17</v>
      </c>
      <c r="E85" s="1" t="s">
        <v>40</v>
      </c>
      <c r="F85" s="1" t="s">
        <v>73</v>
      </c>
      <c r="G85" s="1" t="s">
        <v>105</v>
      </c>
      <c r="H85" s="1" t="s">
        <v>140</v>
      </c>
      <c r="I85" s="1" t="s">
        <v>153</v>
      </c>
      <c r="J85" s="1" t="s">
        <v>128</v>
      </c>
      <c r="K85" s="1">
        <v>800</v>
      </c>
      <c r="L85" s="1">
        <v>14000</v>
      </c>
      <c r="M85" t="str">
        <f t="shared" si="1"/>
        <v>KKKNT</v>
      </c>
      <c r="N85" s="1">
        <v>11200000</v>
      </c>
      <c r="O85" s="1" t="s">
        <v>137</v>
      </c>
      <c r="P85">
        <v>0</v>
      </c>
      <c r="Q85" s="1">
        <v>11200000</v>
      </c>
      <c r="R85" s="1" t="s">
        <v>192</v>
      </c>
    </row>
    <row r="86" spans="1:18" x14ac:dyDescent="0.3">
      <c r="A86" s="1">
        <v>60</v>
      </c>
      <c r="B86" s="3">
        <v>25</v>
      </c>
      <c r="C86" s="3">
        <v>4</v>
      </c>
      <c r="D86" s="1" t="s">
        <v>17</v>
      </c>
      <c r="E86" s="1" t="s">
        <v>35</v>
      </c>
      <c r="F86" s="1" t="s">
        <v>68</v>
      </c>
      <c r="G86" s="1" t="s">
        <v>100</v>
      </c>
      <c r="H86" s="1" t="s">
        <v>24</v>
      </c>
      <c r="I86" s="1" t="s">
        <v>149</v>
      </c>
      <c r="J86" s="1" t="s">
        <v>123</v>
      </c>
      <c r="K86" s="1">
        <v>3200</v>
      </c>
      <c r="L86" s="1">
        <v>11000</v>
      </c>
      <c r="M86" t="str">
        <f t="shared" si="1"/>
        <v>KKKNT</v>
      </c>
      <c r="N86" s="1">
        <v>35200000</v>
      </c>
      <c r="O86" s="1" t="s">
        <v>137</v>
      </c>
      <c r="P86">
        <v>0</v>
      </c>
      <c r="Q86" s="1">
        <v>35200000</v>
      </c>
      <c r="R86" s="1" t="s">
        <v>179</v>
      </c>
    </row>
    <row r="87" spans="1:18" x14ac:dyDescent="0.3">
      <c r="A87" s="1">
        <v>61</v>
      </c>
      <c r="B87" s="3">
        <v>25</v>
      </c>
      <c r="C87" s="3">
        <v>4</v>
      </c>
      <c r="D87" s="1" t="s">
        <v>17</v>
      </c>
      <c r="E87" s="1" t="s">
        <v>47</v>
      </c>
      <c r="F87" s="1" t="s">
        <v>80</v>
      </c>
      <c r="G87" s="1" t="s">
        <v>99</v>
      </c>
      <c r="H87" s="1" t="s">
        <v>24</v>
      </c>
      <c r="I87" s="1" t="s">
        <v>34</v>
      </c>
      <c r="J87" s="1" t="s">
        <v>21</v>
      </c>
      <c r="K87" s="1">
        <v>500</v>
      </c>
      <c r="L87" s="1">
        <v>9700</v>
      </c>
      <c r="M87" t="str">
        <f t="shared" si="1"/>
        <v>chịu thuế GTGT 5%</v>
      </c>
      <c r="N87" s="1">
        <v>4850000</v>
      </c>
      <c r="O87" s="1" t="s">
        <v>22</v>
      </c>
      <c r="P87">
        <v>242500</v>
      </c>
      <c r="Q87" s="1">
        <v>5092500</v>
      </c>
      <c r="R87" s="1" t="s">
        <v>176</v>
      </c>
    </row>
    <row r="88" spans="1:18" x14ac:dyDescent="0.3">
      <c r="A88" s="1">
        <v>61</v>
      </c>
      <c r="B88" s="3">
        <v>25</v>
      </c>
      <c r="C88" s="3">
        <v>4</v>
      </c>
      <c r="D88" s="1" t="s">
        <v>17</v>
      </c>
      <c r="E88" s="1" t="s">
        <v>47</v>
      </c>
      <c r="F88" s="1" t="s">
        <v>80</v>
      </c>
      <c r="G88" s="1" t="s">
        <v>99</v>
      </c>
      <c r="H88" s="1" t="s">
        <v>24</v>
      </c>
      <c r="I88" s="1" t="s">
        <v>34</v>
      </c>
      <c r="J88" s="1" t="s">
        <v>124</v>
      </c>
      <c r="K88" s="1">
        <v>300</v>
      </c>
      <c r="L88" s="1">
        <v>22000</v>
      </c>
      <c r="M88" t="str">
        <f t="shared" si="1"/>
        <v>chịu thuế GTGT 5%</v>
      </c>
      <c r="N88" s="1">
        <v>6600000</v>
      </c>
      <c r="O88" s="1" t="s">
        <v>22</v>
      </c>
      <c r="P88">
        <v>330000</v>
      </c>
      <c r="Q88" s="1">
        <v>6930000</v>
      </c>
      <c r="R88" s="1" t="s">
        <v>176</v>
      </c>
    </row>
    <row r="89" spans="1:18" x14ac:dyDescent="0.3">
      <c r="A89" s="1">
        <v>62</v>
      </c>
      <c r="B89" s="3">
        <v>29</v>
      </c>
      <c r="C89" s="3">
        <v>4</v>
      </c>
      <c r="D89" s="1" t="s">
        <v>17</v>
      </c>
      <c r="E89" s="1" t="s">
        <v>54</v>
      </c>
      <c r="F89" s="1" t="s">
        <v>88</v>
      </c>
      <c r="G89" s="1" t="s">
        <v>118</v>
      </c>
      <c r="H89" s="1" t="s">
        <v>140</v>
      </c>
      <c r="I89" s="1" t="s">
        <v>145</v>
      </c>
      <c r="J89" s="1" t="s">
        <v>127</v>
      </c>
      <c r="K89" s="1">
        <v>1000</v>
      </c>
      <c r="L89" s="1">
        <v>13500</v>
      </c>
      <c r="M89" t="str">
        <f t="shared" si="1"/>
        <v>KKKNT</v>
      </c>
      <c r="N89" s="1">
        <v>13500000</v>
      </c>
      <c r="O89" s="1" t="s">
        <v>137</v>
      </c>
      <c r="P89">
        <v>0</v>
      </c>
      <c r="Q89" s="1">
        <v>13500000</v>
      </c>
      <c r="R89" s="1" t="s">
        <v>182</v>
      </c>
    </row>
    <row r="90" spans="1:18" x14ac:dyDescent="0.3">
      <c r="A90" s="1">
        <v>63</v>
      </c>
      <c r="B90" s="3">
        <v>6</v>
      </c>
      <c r="C90" s="3">
        <v>5</v>
      </c>
      <c r="D90" s="1" t="s">
        <v>17</v>
      </c>
      <c r="E90" s="1" t="s">
        <v>18</v>
      </c>
      <c r="F90" s="1" t="s">
        <v>19</v>
      </c>
      <c r="G90" s="1" t="s">
        <v>20</v>
      </c>
      <c r="H90" s="1" t="s">
        <v>24</v>
      </c>
      <c r="I90" s="1" t="s">
        <v>23</v>
      </c>
      <c r="J90" s="1" t="s">
        <v>21</v>
      </c>
      <c r="K90" s="1">
        <v>2000</v>
      </c>
      <c r="L90" s="1">
        <v>9600</v>
      </c>
      <c r="M90" t="str">
        <f t="shared" si="1"/>
        <v>chịu thuế GTGT 5%</v>
      </c>
      <c r="N90" s="1">
        <v>19200000</v>
      </c>
      <c r="O90" s="1" t="s">
        <v>22</v>
      </c>
      <c r="P90">
        <v>960000</v>
      </c>
      <c r="Q90" s="1">
        <v>20160000</v>
      </c>
      <c r="R90" s="1" t="s">
        <v>174</v>
      </c>
    </row>
    <row r="91" spans="1:18" x14ac:dyDescent="0.3">
      <c r="A91" s="1">
        <v>63</v>
      </c>
      <c r="B91" s="3">
        <v>6</v>
      </c>
      <c r="C91" s="3">
        <v>5</v>
      </c>
      <c r="D91" s="1" t="s">
        <v>17</v>
      </c>
      <c r="E91" s="1" t="s">
        <v>18</v>
      </c>
      <c r="F91" s="1" t="s">
        <v>19</v>
      </c>
      <c r="G91" s="1" t="s">
        <v>20</v>
      </c>
      <c r="H91" s="1" t="s">
        <v>24</v>
      </c>
      <c r="I91" s="1" t="s">
        <v>23</v>
      </c>
      <c r="J91" s="1" t="s">
        <v>134</v>
      </c>
      <c r="K91" s="1">
        <v>500</v>
      </c>
      <c r="L91" s="1">
        <v>19000</v>
      </c>
      <c r="M91" t="str">
        <f t="shared" si="1"/>
        <v>chịu thuế GTGT 5%</v>
      </c>
      <c r="N91" s="1">
        <v>9500000</v>
      </c>
      <c r="O91" s="1" t="s">
        <v>22</v>
      </c>
      <c r="P91">
        <v>475000</v>
      </c>
      <c r="Q91" s="1">
        <v>9975000</v>
      </c>
      <c r="R91" s="1" t="s">
        <v>174</v>
      </c>
    </row>
    <row r="92" spans="1:18" x14ac:dyDescent="0.3">
      <c r="A92" s="1">
        <v>64</v>
      </c>
      <c r="B92" s="3">
        <v>13</v>
      </c>
      <c r="C92" s="3">
        <v>5</v>
      </c>
      <c r="D92" s="1" t="s">
        <v>17</v>
      </c>
      <c r="E92" s="1" t="s">
        <v>52</v>
      </c>
      <c r="F92" s="1" t="s">
        <v>86</v>
      </c>
      <c r="G92" s="1" t="s">
        <v>116</v>
      </c>
      <c r="H92" s="1" t="s">
        <v>24</v>
      </c>
      <c r="I92" s="1" t="s">
        <v>160</v>
      </c>
      <c r="J92" s="1" t="s">
        <v>21</v>
      </c>
      <c r="K92" s="1">
        <v>1500</v>
      </c>
      <c r="L92" s="1">
        <v>9700</v>
      </c>
      <c r="M92" t="str">
        <f t="shared" si="1"/>
        <v>KKKNT</v>
      </c>
      <c r="N92" s="1">
        <v>14550000</v>
      </c>
      <c r="O92" s="1" t="s">
        <v>137</v>
      </c>
      <c r="P92">
        <v>0</v>
      </c>
      <c r="Q92" s="1">
        <v>14550000</v>
      </c>
      <c r="R92" s="1" t="s">
        <v>178</v>
      </c>
    </row>
    <row r="93" spans="1:18" x14ac:dyDescent="0.3">
      <c r="A93" s="1">
        <v>65</v>
      </c>
      <c r="B93" s="3">
        <v>13</v>
      </c>
      <c r="C93" s="3">
        <v>5</v>
      </c>
      <c r="D93" s="1" t="s">
        <v>17</v>
      </c>
      <c r="E93" s="1" t="s">
        <v>52</v>
      </c>
      <c r="F93" s="1" t="s">
        <v>86</v>
      </c>
      <c r="G93" s="1" t="s">
        <v>116</v>
      </c>
      <c r="H93" s="1" t="s">
        <v>24</v>
      </c>
      <c r="I93" s="1" t="s">
        <v>160</v>
      </c>
      <c r="J93" s="1" t="s">
        <v>21</v>
      </c>
      <c r="K93" s="1">
        <v>1400</v>
      </c>
      <c r="L93" s="1">
        <v>9700</v>
      </c>
      <c r="M93" t="str">
        <f t="shared" si="1"/>
        <v>KKKNT</v>
      </c>
      <c r="N93" s="1">
        <v>13580000</v>
      </c>
      <c r="O93" s="1" t="s">
        <v>137</v>
      </c>
      <c r="P93">
        <v>0</v>
      </c>
      <c r="Q93" s="1">
        <v>13580000</v>
      </c>
      <c r="R93" s="1" t="s">
        <v>178</v>
      </c>
    </row>
    <row r="94" spans="1:18" x14ac:dyDescent="0.3">
      <c r="A94" s="1">
        <v>66</v>
      </c>
      <c r="B94" s="3">
        <v>13</v>
      </c>
      <c r="C94" s="3">
        <v>5</v>
      </c>
      <c r="D94" s="1" t="s">
        <v>17</v>
      </c>
      <c r="E94" s="1" t="s">
        <v>40</v>
      </c>
      <c r="F94" s="1" t="s">
        <v>73</v>
      </c>
      <c r="G94" s="1" t="s">
        <v>105</v>
      </c>
      <c r="H94" s="1" t="s">
        <v>140</v>
      </c>
      <c r="I94" s="1" t="s">
        <v>153</v>
      </c>
      <c r="J94" s="1" t="s">
        <v>127</v>
      </c>
      <c r="K94" s="1">
        <v>800</v>
      </c>
      <c r="L94" s="1">
        <v>13500</v>
      </c>
      <c r="M94" t="str">
        <f t="shared" si="1"/>
        <v>KKKNT</v>
      </c>
      <c r="N94" s="1">
        <v>10800000</v>
      </c>
      <c r="O94" s="1" t="s">
        <v>137</v>
      </c>
      <c r="P94">
        <v>0</v>
      </c>
      <c r="Q94" s="1">
        <v>10800000</v>
      </c>
      <c r="R94" s="1" t="s">
        <v>192</v>
      </c>
    </row>
    <row r="95" spans="1:18" x14ac:dyDescent="0.3">
      <c r="A95" s="1">
        <v>67</v>
      </c>
      <c r="B95" s="3">
        <v>14</v>
      </c>
      <c r="C95" s="3">
        <v>5</v>
      </c>
      <c r="D95" s="1" t="s">
        <v>17</v>
      </c>
      <c r="E95" s="1" t="s">
        <v>47</v>
      </c>
      <c r="F95" s="1" t="s">
        <v>80</v>
      </c>
      <c r="G95" s="1" t="s">
        <v>99</v>
      </c>
      <c r="H95" s="1" t="s">
        <v>24</v>
      </c>
      <c r="I95" s="1" t="s">
        <v>34</v>
      </c>
      <c r="J95" s="1" t="s">
        <v>124</v>
      </c>
      <c r="K95" s="1">
        <v>200</v>
      </c>
      <c r="L95" s="1">
        <v>22000</v>
      </c>
      <c r="M95" t="str">
        <f t="shared" si="1"/>
        <v>chịu thuế GTGT 5%</v>
      </c>
      <c r="N95" s="1">
        <v>4400000</v>
      </c>
      <c r="O95" s="1" t="s">
        <v>22</v>
      </c>
      <c r="P95">
        <v>220000</v>
      </c>
      <c r="Q95" s="1">
        <v>4620000</v>
      </c>
      <c r="R95" s="1" t="s">
        <v>176</v>
      </c>
    </row>
    <row r="96" spans="1:18" x14ac:dyDescent="0.3">
      <c r="A96" s="1">
        <v>67</v>
      </c>
      <c r="B96" s="3">
        <v>14</v>
      </c>
      <c r="C96" s="3">
        <v>5</v>
      </c>
      <c r="D96" s="1" t="s">
        <v>17</v>
      </c>
      <c r="E96" s="1" t="s">
        <v>47</v>
      </c>
      <c r="F96" s="1" t="s">
        <v>80</v>
      </c>
      <c r="G96" s="1" t="s">
        <v>99</v>
      </c>
      <c r="H96" s="1" t="s">
        <v>24</v>
      </c>
      <c r="I96" s="1" t="s">
        <v>34</v>
      </c>
      <c r="J96" s="1" t="s">
        <v>123</v>
      </c>
      <c r="K96" s="1">
        <v>700</v>
      </c>
      <c r="L96" s="1">
        <v>11000</v>
      </c>
      <c r="M96" t="str">
        <f t="shared" si="1"/>
        <v>chịu thuế GTGT 5%</v>
      </c>
      <c r="N96" s="1">
        <v>7700000</v>
      </c>
      <c r="O96" s="1" t="s">
        <v>22</v>
      </c>
      <c r="P96">
        <v>385000</v>
      </c>
      <c r="Q96" s="1">
        <v>8085000</v>
      </c>
      <c r="R96" s="1" t="s">
        <v>176</v>
      </c>
    </row>
    <row r="97" spans="1:18" x14ac:dyDescent="0.3">
      <c r="A97" s="1">
        <v>67</v>
      </c>
      <c r="B97" s="3">
        <v>14</v>
      </c>
      <c r="C97" s="3">
        <v>5</v>
      </c>
      <c r="D97" s="1" t="s">
        <v>17</v>
      </c>
      <c r="E97" s="1" t="s">
        <v>47</v>
      </c>
      <c r="F97" s="1" t="s">
        <v>80</v>
      </c>
      <c r="G97" s="1" t="s">
        <v>99</v>
      </c>
      <c r="H97" s="1" t="s">
        <v>24</v>
      </c>
      <c r="I97" s="1" t="s">
        <v>34</v>
      </c>
      <c r="J97" s="1" t="s">
        <v>133</v>
      </c>
      <c r="K97" s="1">
        <v>500</v>
      </c>
      <c r="L97" s="1">
        <v>13500</v>
      </c>
      <c r="M97" t="str">
        <f t="shared" si="1"/>
        <v>chịu thuế GTGT 5%</v>
      </c>
      <c r="N97" s="1">
        <v>6750000</v>
      </c>
      <c r="O97" s="1" t="s">
        <v>22</v>
      </c>
      <c r="P97">
        <v>337500</v>
      </c>
      <c r="Q97" s="1">
        <v>7087500</v>
      </c>
      <c r="R97" s="1" t="s">
        <v>176</v>
      </c>
    </row>
    <row r="98" spans="1:18" x14ac:dyDescent="0.3">
      <c r="A98" s="1">
        <v>67</v>
      </c>
      <c r="B98" s="3">
        <v>14</v>
      </c>
      <c r="C98" s="3">
        <v>5</v>
      </c>
      <c r="D98" s="1" t="s">
        <v>17</v>
      </c>
      <c r="E98" s="1" t="s">
        <v>47</v>
      </c>
      <c r="F98" s="1" t="s">
        <v>80</v>
      </c>
      <c r="G98" s="1" t="s">
        <v>99</v>
      </c>
      <c r="H98" s="1" t="s">
        <v>24</v>
      </c>
      <c r="I98" s="1" t="s">
        <v>34</v>
      </c>
      <c r="J98" s="1" t="s">
        <v>21</v>
      </c>
      <c r="K98" s="1">
        <v>300</v>
      </c>
      <c r="L98" s="1">
        <v>9700</v>
      </c>
      <c r="M98" t="str">
        <f t="shared" si="1"/>
        <v>chịu thuế GTGT 5%</v>
      </c>
      <c r="N98" s="1">
        <v>2910000</v>
      </c>
      <c r="O98" s="1" t="s">
        <v>22</v>
      </c>
      <c r="P98">
        <v>145500</v>
      </c>
      <c r="Q98" s="1">
        <v>3055500</v>
      </c>
      <c r="R98" s="1" t="s">
        <v>176</v>
      </c>
    </row>
    <row r="99" spans="1:18" x14ac:dyDescent="0.3">
      <c r="A99" s="1">
        <v>68</v>
      </c>
      <c r="B99" s="3">
        <v>15</v>
      </c>
      <c r="C99" s="3">
        <v>5</v>
      </c>
      <c r="D99" s="1" t="s">
        <v>17</v>
      </c>
      <c r="E99" s="1" t="s">
        <v>45</v>
      </c>
      <c r="F99" s="1" t="s">
        <v>78</v>
      </c>
      <c r="G99" s="1" t="s">
        <v>110</v>
      </c>
      <c r="H99" s="1" t="s">
        <v>24</v>
      </c>
      <c r="I99" s="1" t="s">
        <v>139</v>
      </c>
      <c r="J99" s="1" t="s">
        <v>124</v>
      </c>
      <c r="K99" s="1">
        <v>4300</v>
      </c>
      <c r="L99" s="1">
        <v>22000</v>
      </c>
      <c r="M99" t="str">
        <f t="shared" si="1"/>
        <v>KKKNT</v>
      </c>
      <c r="N99" s="1">
        <v>94600000</v>
      </c>
      <c r="O99" s="1" t="s">
        <v>137</v>
      </c>
      <c r="P99">
        <v>0</v>
      </c>
      <c r="Q99" s="1">
        <v>94600000</v>
      </c>
      <c r="R99" s="1" t="s">
        <v>177</v>
      </c>
    </row>
    <row r="100" spans="1:18" x14ac:dyDescent="0.3">
      <c r="A100" s="1">
        <v>69</v>
      </c>
      <c r="B100" s="3">
        <v>15</v>
      </c>
      <c r="C100" s="3">
        <v>5</v>
      </c>
      <c r="D100" s="1" t="s">
        <v>17</v>
      </c>
      <c r="E100" s="1" t="s">
        <v>55</v>
      </c>
      <c r="F100" s="1" t="s">
        <v>89</v>
      </c>
      <c r="G100" s="1" t="s">
        <v>119</v>
      </c>
      <c r="H100" s="1" t="s">
        <v>140</v>
      </c>
      <c r="I100" s="1" t="s">
        <v>143</v>
      </c>
      <c r="J100" s="1" t="s">
        <v>124</v>
      </c>
      <c r="K100" s="1">
        <v>1400</v>
      </c>
      <c r="L100" s="1">
        <v>22000</v>
      </c>
      <c r="M100" t="str">
        <f t="shared" si="1"/>
        <v>KKKNT</v>
      </c>
      <c r="N100" s="1">
        <v>30800000</v>
      </c>
      <c r="O100" s="1" t="s">
        <v>137</v>
      </c>
      <c r="P100">
        <v>0</v>
      </c>
      <c r="Q100" s="1">
        <v>30800000</v>
      </c>
      <c r="R100" s="1" t="s">
        <v>191</v>
      </c>
    </row>
    <row r="101" spans="1:18" x14ac:dyDescent="0.3">
      <c r="A101" s="1">
        <v>70</v>
      </c>
      <c r="B101" s="3">
        <v>16</v>
      </c>
      <c r="C101" s="3">
        <v>5</v>
      </c>
      <c r="D101" s="1" t="s">
        <v>17</v>
      </c>
      <c r="E101" s="1" t="s">
        <v>56</v>
      </c>
      <c r="F101" s="1" t="s">
        <v>89</v>
      </c>
      <c r="G101" s="1" t="s">
        <v>120</v>
      </c>
      <c r="H101" s="1" t="s">
        <v>24</v>
      </c>
      <c r="I101" s="1" t="s">
        <v>154</v>
      </c>
      <c r="J101" s="1" t="s">
        <v>135</v>
      </c>
      <c r="K101" s="1">
        <v>5000</v>
      </c>
      <c r="L101" s="1">
        <v>6800</v>
      </c>
      <c r="M101" t="str">
        <f t="shared" si="1"/>
        <v>KKKNT</v>
      </c>
      <c r="N101" s="1">
        <v>34000000</v>
      </c>
      <c r="O101" s="1" t="s">
        <v>137</v>
      </c>
      <c r="P101">
        <v>0</v>
      </c>
      <c r="Q101" s="1">
        <v>34000000</v>
      </c>
      <c r="R101" s="1" t="s">
        <v>190</v>
      </c>
    </row>
    <row r="102" spans="1:18" x14ac:dyDescent="0.3">
      <c r="A102" s="1">
        <v>71</v>
      </c>
      <c r="B102" s="3">
        <v>18</v>
      </c>
      <c r="C102" s="3">
        <v>5</v>
      </c>
      <c r="D102" s="1" t="s">
        <v>17</v>
      </c>
      <c r="E102" s="1" t="s">
        <v>56</v>
      </c>
      <c r="F102" s="1" t="s">
        <v>89</v>
      </c>
      <c r="G102" s="1" t="s">
        <v>120</v>
      </c>
      <c r="H102" s="1" t="s">
        <v>24</v>
      </c>
      <c r="I102" s="1" t="s">
        <v>154</v>
      </c>
      <c r="J102" s="1" t="s">
        <v>136</v>
      </c>
      <c r="K102" s="1">
        <v>9000</v>
      </c>
      <c r="L102" s="1">
        <v>8400</v>
      </c>
      <c r="M102" t="str">
        <f t="shared" si="1"/>
        <v>KKKNT</v>
      </c>
      <c r="N102" s="1">
        <v>75600000</v>
      </c>
      <c r="O102" s="1" t="s">
        <v>137</v>
      </c>
      <c r="P102">
        <v>0</v>
      </c>
      <c r="Q102" s="1">
        <v>75600000</v>
      </c>
      <c r="R102" s="1" t="s">
        <v>190</v>
      </c>
    </row>
    <row r="103" spans="1:18" x14ac:dyDescent="0.3">
      <c r="A103" s="1">
        <v>72</v>
      </c>
      <c r="B103" s="3">
        <v>19</v>
      </c>
      <c r="C103" s="3">
        <v>5</v>
      </c>
      <c r="D103" s="1" t="s">
        <v>17</v>
      </c>
      <c r="E103" s="1" t="s">
        <v>35</v>
      </c>
      <c r="F103" s="1" t="s">
        <v>68</v>
      </c>
      <c r="G103" s="1" t="s">
        <v>100</v>
      </c>
      <c r="H103" s="1" t="s">
        <v>24</v>
      </c>
      <c r="I103" s="1" t="s">
        <v>149</v>
      </c>
      <c r="J103" s="1" t="s">
        <v>21</v>
      </c>
      <c r="K103" s="1">
        <v>3700</v>
      </c>
      <c r="L103" s="1">
        <v>9700</v>
      </c>
      <c r="M103" t="str">
        <f t="shared" si="1"/>
        <v>KKKNT</v>
      </c>
      <c r="N103" s="1">
        <v>35890000</v>
      </c>
      <c r="O103" s="1" t="s">
        <v>137</v>
      </c>
      <c r="P103">
        <v>0</v>
      </c>
      <c r="Q103" s="1">
        <v>35890000</v>
      </c>
      <c r="R103" s="1" t="s">
        <v>179</v>
      </c>
    </row>
    <row r="104" spans="1:18" x14ac:dyDescent="0.3">
      <c r="A104" s="1">
        <v>73</v>
      </c>
      <c r="B104" s="3">
        <v>22</v>
      </c>
      <c r="C104" s="3">
        <v>5</v>
      </c>
      <c r="D104" s="1" t="s">
        <v>17</v>
      </c>
      <c r="E104" s="1" t="s">
        <v>18</v>
      </c>
      <c r="F104" s="1" t="s">
        <v>19</v>
      </c>
      <c r="G104" s="1" t="s">
        <v>20</v>
      </c>
      <c r="H104" s="1" t="s">
        <v>24</v>
      </c>
      <c r="I104" s="1" t="s">
        <v>23</v>
      </c>
      <c r="J104" s="1" t="s">
        <v>123</v>
      </c>
      <c r="K104" s="1">
        <v>2000</v>
      </c>
      <c r="L104" s="1">
        <v>11000</v>
      </c>
      <c r="M104" t="str">
        <f t="shared" si="1"/>
        <v>chịu thuế GTGT 5%</v>
      </c>
      <c r="N104" s="1">
        <v>22000000</v>
      </c>
      <c r="O104" s="1" t="s">
        <v>22</v>
      </c>
      <c r="P104">
        <v>1100000</v>
      </c>
      <c r="Q104" s="1">
        <v>23100000</v>
      </c>
      <c r="R104" s="1" t="s">
        <v>174</v>
      </c>
    </row>
    <row r="105" spans="1:18" x14ac:dyDescent="0.3">
      <c r="A105" s="1">
        <v>73</v>
      </c>
      <c r="B105" s="3">
        <v>22</v>
      </c>
      <c r="C105" s="3">
        <v>5</v>
      </c>
      <c r="D105" s="1" t="s">
        <v>17</v>
      </c>
      <c r="E105" s="1" t="s">
        <v>18</v>
      </c>
      <c r="F105" s="1" t="s">
        <v>19</v>
      </c>
      <c r="G105" s="1" t="s">
        <v>20</v>
      </c>
      <c r="H105" s="1" t="s">
        <v>24</v>
      </c>
      <c r="I105" s="1" t="s">
        <v>23</v>
      </c>
      <c r="J105" s="1" t="s">
        <v>124</v>
      </c>
      <c r="K105" s="1">
        <v>500</v>
      </c>
      <c r="L105" s="1">
        <v>22000</v>
      </c>
      <c r="M105" t="str">
        <f t="shared" si="1"/>
        <v>chịu thuế GTGT 5%</v>
      </c>
      <c r="N105" s="1">
        <v>11000000</v>
      </c>
      <c r="O105" s="1" t="s">
        <v>22</v>
      </c>
      <c r="P105">
        <v>550000</v>
      </c>
      <c r="Q105" s="1">
        <v>11550000</v>
      </c>
      <c r="R105" s="1" t="s">
        <v>174</v>
      </c>
    </row>
    <row r="106" spans="1:18" x14ac:dyDescent="0.3">
      <c r="A106" s="1">
        <v>74</v>
      </c>
      <c r="B106" s="3">
        <v>23</v>
      </c>
      <c r="C106" s="3">
        <v>5</v>
      </c>
      <c r="D106" s="1" t="s">
        <v>17</v>
      </c>
      <c r="E106" s="1" t="s">
        <v>57</v>
      </c>
      <c r="F106" s="1" t="s">
        <v>88</v>
      </c>
      <c r="G106" s="1" t="s">
        <v>118</v>
      </c>
      <c r="H106" s="1" t="s">
        <v>140</v>
      </c>
      <c r="I106" s="1" t="s">
        <v>145</v>
      </c>
      <c r="J106" s="1" t="s">
        <v>127</v>
      </c>
      <c r="K106" s="1">
        <v>950</v>
      </c>
      <c r="L106" s="1">
        <v>13500</v>
      </c>
      <c r="M106" t="str">
        <f t="shared" si="1"/>
        <v>KKKNT</v>
      </c>
      <c r="N106" s="1">
        <v>12825000</v>
      </c>
      <c r="O106" s="1" t="s">
        <v>137</v>
      </c>
      <c r="P106">
        <v>0</v>
      </c>
      <c r="Q106" s="1">
        <v>12825000</v>
      </c>
      <c r="R106" s="1" t="s">
        <v>182</v>
      </c>
    </row>
    <row r="107" spans="1:18" x14ac:dyDescent="0.3">
      <c r="A107" s="1">
        <v>75</v>
      </c>
      <c r="B107" s="3">
        <v>29</v>
      </c>
      <c r="C107" s="3">
        <v>5</v>
      </c>
      <c r="D107" s="1" t="s">
        <v>17</v>
      </c>
      <c r="E107" s="1" t="s">
        <v>40</v>
      </c>
      <c r="F107" s="1" t="s">
        <v>73</v>
      </c>
      <c r="G107" s="1" t="s">
        <v>105</v>
      </c>
      <c r="H107" s="1" t="s">
        <v>140</v>
      </c>
      <c r="I107" s="1" t="s">
        <v>153</v>
      </c>
      <c r="J107" s="1" t="s">
        <v>127</v>
      </c>
      <c r="K107" s="1">
        <v>1000</v>
      </c>
      <c r="L107" s="1">
        <v>13500</v>
      </c>
      <c r="M107" t="str">
        <f t="shared" si="1"/>
        <v>KKKNT</v>
      </c>
      <c r="N107" s="1">
        <v>13500000</v>
      </c>
      <c r="O107" s="1" t="s">
        <v>137</v>
      </c>
      <c r="P107">
        <v>0</v>
      </c>
      <c r="Q107" s="1">
        <v>13500000</v>
      </c>
      <c r="R107" s="1" t="s">
        <v>192</v>
      </c>
    </row>
    <row r="108" spans="1:18" x14ac:dyDescent="0.3">
      <c r="A108" s="1">
        <v>76</v>
      </c>
      <c r="B108" s="3">
        <v>2</v>
      </c>
      <c r="C108" s="3">
        <v>6</v>
      </c>
      <c r="D108" s="1" t="s">
        <v>17</v>
      </c>
      <c r="E108" s="1" t="s">
        <v>18</v>
      </c>
      <c r="F108" s="1" t="s">
        <v>19</v>
      </c>
      <c r="G108" s="1" t="s">
        <v>20</v>
      </c>
      <c r="H108" s="1" t="s">
        <v>24</v>
      </c>
      <c r="I108" s="1" t="s">
        <v>23</v>
      </c>
      <c r="J108" s="1" t="s">
        <v>21</v>
      </c>
      <c r="K108" s="1">
        <v>4270</v>
      </c>
      <c r="L108" s="1">
        <v>9800</v>
      </c>
      <c r="M108" t="str">
        <f t="shared" si="1"/>
        <v>chịu thuế GTGT 5%</v>
      </c>
      <c r="N108" s="1">
        <v>41846000</v>
      </c>
      <c r="O108" s="1" t="s">
        <v>22</v>
      </c>
      <c r="P108">
        <v>2092300</v>
      </c>
      <c r="Q108" s="1">
        <v>43938300</v>
      </c>
      <c r="R108" s="1" t="s">
        <v>174</v>
      </c>
    </row>
    <row r="109" spans="1:18" x14ac:dyDescent="0.3">
      <c r="A109" s="1">
        <v>77</v>
      </c>
      <c r="B109" s="3">
        <v>14</v>
      </c>
      <c r="C109" s="3">
        <v>6</v>
      </c>
      <c r="D109" s="1" t="s">
        <v>17</v>
      </c>
      <c r="E109" s="1" t="s">
        <v>46</v>
      </c>
      <c r="F109" s="1" t="s">
        <v>79</v>
      </c>
      <c r="G109" s="1" t="s">
        <v>111</v>
      </c>
      <c r="H109" s="1" t="s">
        <v>140</v>
      </c>
      <c r="I109" s="1" t="s">
        <v>165</v>
      </c>
      <c r="J109" s="1" t="s">
        <v>127</v>
      </c>
      <c r="K109" s="1">
        <v>600</v>
      </c>
      <c r="L109" s="1">
        <v>13500</v>
      </c>
      <c r="M109" t="str">
        <f t="shared" si="1"/>
        <v>chịu thuế GTGT 5%</v>
      </c>
      <c r="N109" s="1">
        <v>8100000</v>
      </c>
      <c r="O109" s="1" t="s">
        <v>22</v>
      </c>
      <c r="P109">
        <v>405000</v>
      </c>
      <c r="Q109" s="1">
        <v>8505000</v>
      </c>
      <c r="R109" s="1" t="s">
        <v>187</v>
      </c>
    </row>
    <row r="110" spans="1:18" x14ac:dyDescent="0.3">
      <c r="A110" s="1">
        <v>77</v>
      </c>
      <c r="B110" s="3">
        <v>14</v>
      </c>
      <c r="C110" s="3">
        <v>6</v>
      </c>
      <c r="D110" s="1" t="s">
        <v>17</v>
      </c>
      <c r="E110" s="1" t="s">
        <v>46</v>
      </c>
      <c r="F110" s="1" t="s">
        <v>79</v>
      </c>
      <c r="G110" s="1" t="s">
        <v>111</v>
      </c>
      <c r="H110" s="1" t="s">
        <v>140</v>
      </c>
      <c r="I110" s="1" t="s">
        <v>165</v>
      </c>
      <c r="J110" s="1" t="s">
        <v>124</v>
      </c>
      <c r="K110" s="1">
        <v>2000</v>
      </c>
      <c r="L110" s="1">
        <v>22000</v>
      </c>
      <c r="M110" t="str">
        <f t="shared" si="1"/>
        <v>chịu thuế GTGT 5%</v>
      </c>
      <c r="N110" s="1">
        <v>44000000</v>
      </c>
      <c r="O110" s="1" t="s">
        <v>22</v>
      </c>
      <c r="P110">
        <v>2200000</v>
      </c>
      <c r="Q110" s="1">
        <v>46200000</v>
      </c>
      <c r="R110" s="1" t="s">
        <v>187</v>
      </c>
    </row>
    <row r="111" spans="1:18" x14ac:dyDescent="0.3">
      <c r="A111" s="1">
        <v>78</v>
      </c>
      <c r="B111" s="3">
        <v>16</v>
      </c>
      <c r="C111" s="3">
        <v>6</v>
      </c>
      <c r="D111" s="1" t="s">
        <v>17</v>
      </c>
      <c r="E111" s="1" t="s">
        <v>56</v>
      </c>
      <c r="F111" s="1" t="s">
        <v>89</v>
      </c>
      <c r="G111" s="1" t="s">
        <v>120</v>
      </c>
      <c r="H111" s="1" t="s">
        <v>24</v>
      </c>
      <c r="I111" s="1" t="s">
        <v>154</v>
      </c>
      <c r="J111" s="1" t="s">
        <v>135</v>
      </c>
      <c r="K111" s="1">
        <v>5900</v>
      </c>
      <c r="L111" s="1">
        <v>7000</v>
      </c>
      <c r="M111" t="str">
        <f t="shared" si="1"/>
        <v>KKKNT</v>
      </c>
      <c r="N111" s="1">
        <v>41300000</v>
      </c>
      <c r="O111" s="1" t="s">
        <v>137</v>
      </c>
      <c r="P111">
        <v>0</v>
      </c>
      <c r="Q111" s="1">
        <v>41300000</v>
      </c>
      <c r="R111" s="1" t="s">
        <v>190</v>
      </c>
    </row>
    <row r="112" spans="1:18" x14ac:dyDescent="0.3">
      <c r="A112" s="1">
        <v>79</v>
      </c>
      <c r="B112" s="3">
        <v>17</v>
      </c>
      <c r="C112" s="3">
        <v>6</v>
      </c>
      <c r="D112" s="1" t="s">
        <v>17</v>
      </c>
      <c r="E112" s="1" t="s">
        <v>57</v>
      </c>
      <c r="F112" s="1" t="s">
        <v>88</v>
      </c>
      <c r="G112" s="1" t="s">
        <v>118</v>
      </c>
      <c r="H112" s="1" t="s">
        <v>140</v>
      </c>
      <c r="I112" s="1" t="s">
        <v>145</v>
      </c>
      <c r="J112" s="1" t="s">
        <v>127</v>
      </c>
      <c r="K112" s="1">
        <v>1150</v>
      </c>
      <c r="L112" s="1">
        <v>13500</v>
      </c>
      <c r="M112" t="str">
        <f t="shared" si="1"/>
        <v>KKKNT</v>
      </c>
      <c r="N112" s="1">
        <v>15525000</v>
      </c>
      <c r="O112" s="1" t="s">
        <v>137</v>
      </c>
      <c r="P112">
        <v>0</v>
      </c>
      <c r="Q112" s="1">
        <v>15525000</v>
      </c>
      <c r="R112" s="1" t="s">
        <v>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2026-04-27T13:16:18Z</dcterms:created>
  <dcterms:modified xsi:type="dcterms:W3CDTF">2026-06-19T03:31:41Z</dcterms:modified>
</cp:coreProperties>
</file>